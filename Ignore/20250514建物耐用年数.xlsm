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ikuni\アーバンレック Dropbox\アーバンレック共有\1.システム工場\10.税法に関する計算ツール\18.減価償却\建物減価償却耐用年数\"/>
    </mc:Choice>
  </mc:AlternateContent>
  <xr:revisionPtr revIDLastSave="0" documentId="8_{7BB3AE47-487F-4535-A2BD-8CF6CE25647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建物耐用年数一覧表 ($抜き)" sheetId="23" r:id="rId1"/>
  </sheets>
  <externalReferences>
    <externalReference r:id="rId2"/>
  </externalReferences>
  <definedNames>
    <definedName name="T101_RDY" localSheetId="0">#REF!</definedName>
    <definedName name="T101_RDY">#REF!</definedName>
    <definedName name="T102_RDY" localSheetId="0">#REF!</definedName>
    <definedName name="T102_RDY">#REF!</definedName>
    <definedName name="データ型">[1]リスト!$B$2:$B$9</definedName>
    <definedName name="堅固建物賃貸" localSheetId="0">#REF!</definedName>
    <definedName name="堅固建物賃貸">#REF!</definedName>
    <definedName name="作成区分">[1]リスト!$B$10:$B$13</definedName>
    <definedName name="税区分">[1]リスト!$B$14</definedName>
    <definedName name="法人事業税計算式" localSheetId="0">#REF!</definedName>
    <definedName name="法人事業税計算式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2" i="23" l="1"/>
  <c r="N52" i="23" s="1"/>
  <c r="Q52" i="23" s="1"/>
  <c r="F51" i="23"/>
  <c r="N51" i="23" s="1"/>
  <c r="Q51" i="23" s="1"/>
  <c r="F50" i="23"/>
  <c r="N50" i="23" s="1"/>
  <c r="Q50" i="23" s="1"/>
  <c r="F49" i="23"/>
  <c r="N49" i="23" s="1"/>
  <c r="Q49" i="23" s="1"/>
  <c r="F48" i="23"/>
  <c r="N48" i="23" s="1"/>
  <c r="Q48" i="23" s="1"/>
  <c r="F47" i="23"/>
  <c r="N47" i="23" s="1"/>
  <c r="Q47" i="23" s="1"/>
  <c r="F46" i="23"/>
  <c r="N46" i="23" s="1"/>
  <c r="Q46" i="23" s="1"/>
  <c r="F45" i="23"/>
  <c r="N45" i="23" s="1"/>
  <c r="Q45" i="23" s="1"/>
  <c r="F44" i="23"/>
  <c r="N44" i="23" s="1"/>
  <c r="Q44" i="23" s="1"/>
  <c r="F43" i="23"/>
  <c r="N43" i="23" s="1"/>
  <c r="Q43" i="23" s="1"/>
  <c r="F42" i="23"/>
  <c r="N42" i="23" s="1"/>
  <c r="Q42" i="23" s="1"/>
  <c r="F41" i="23"/>
  <c r="N41" i="23" s="1"/>
  <c r="Q41" i="23" s="1"/>
  <c r="I40" i="23"/>
  <c r="F40" i="23"/>
  <c r="N40" i="23" s="1"/>
  <c r="Q40" i="23" s="1"/>
  <c r="I39" i="23"/>
  <c r="F39" i="23"/>
  <c r="N39" i="23" s="1"/>
  <c r="Q39" i="23" s="1"/>
  <c r="I38" i="23"/>
  <c r="H38" i="23" s="1"/>
  <c r="J38" i="23" s="1"/>
  <c r="F38" i="23"/>
  <c r="N38" i="23" s="1"/>
  <c r="I37" i="23"/>
  <c r="H37" i="23" s="1"/>
  <c r="J37" i="23" s="1"/>
  <c r="F37" i="23"/>
  <c r="N37" i="23" s="1"/>
  <c r="I36" i="23"/>
  <c r="H36" i="23" s="1"/>
  <c r="J36" i="23" s="1"/>
  <c r="F36" i="23"/>
  <c r="N36" i="23" s="1"/>
  <c r="Q36" i="23" s="1"/>
  <c r="I35" i="23"/>
  <c r="H35" i="23" s="1"/>
  <c r="J35" i="23" s="1"/>
  <c r="F35" i="23"/>
  <c r="N35" i="23" s="1"/>
  <c r="F34" i="23"/>
  <c r="Q34" i="23" s="1"/>
  <c r="F33" i="23"/>
  <c r="N33" i="23" s="1"/>
  <c r="F32" i="23"/>
  <c r="Q32" i="23" s="1"/>
  <c r="F31" i="23"/>
  <c r="G31" i="23" s="1"/>
  <c r="F30" i="23"/>
  <c r="Q30" i="23" s="1"/>
  <c r="F29" i="23"/>
  <c r="N29" i="23" s="1"/>
  <c r="F28" i="23"/>
  <c r="Q28" i="23" s="1"/>
  <c r="F27" i="23"/>
  <c r="Q27" i="23" s="1"/>
  <c r="F26" i="23"/>
  <c r="Q26" i="23" s="1"/>
  <c r="F25" i="23"/>
  <c r="I25" i="23" s="1"/>
  <c r="F24" i="23"/>
  <c r="Q24" i="23" s="1"/>
  <c r="F23" i="23"/>
  <c r="I23" i="23" s="1"/>
  <c r="F22" i="23"/>
  <c r="Q22" i="23" s="1"/>
  <c r="F21" i="23"/>
  <c r="N21" i="23" s="1"/>
  <c r="F20" i="23"/>
  <c r="Q20" i="23" s="1"/>
  <c r="F19" i="23"/>
  <c r="Q19" i="23" s="1"/>
  <c r="F18" i="23"/>
  <c r="Q18" i="23" s="1"/>
  <c r="F17" i="23"/>
  <c r="Q17" i="23" s="1"/>
  <c r="F16" i="23"/>
  <c r="F15" i="23"/>
  <c r="Q15" i="23" s="1"/>
  <c r="F14" i="23"/>
  <c r="Q14" i="23" s="1"/>
  <c r="F13" i="23"/>
  <c r="Q13" i="23" s="1"/>
  <c r="F12" i="23"/>
  <c r="Q12" i="23" s="1"/>
  <c r="F11" i="23"/>
  <c r="Q11" i="23" s="1"/>
  <c r="F10" i="23"/>
  <c r="Q10" i="23" s="1"/>
  <c r="F9" i="23"/>
  <c r="Q9" i="23" s="1"/>
  <c r="F8" i="23"/>
  <c r="Q8" i="23" s="1"/>
  <c r="F7" i="23"/>
  <c r="Q7" i="23" s="1"/>
  <c r="E3" i="23"/>
  <c r="I33" i="23" l="1"/>
  <c r="G27" i="23"/>
  <c r="G33" i="23"/>
  <c r="I14" i="23"/>
  <c r="G30" i="23"/>
  <c r="G18" i="23"/>
  <c r="G26" i="23"/>
  <c r="G19" i="23"/>
  <c r="I27" i="23"/>
  <c r="Q16" i="23"/>
  <c r="I19" i="23"/>
  <c r="G16" i="23"/>
  <c r="Q33" i="23"/>
  <c r="I16" i="23"/>
  <c r="N28" i="23"/>
  <c r="G34" i="23"/>
  <c r="I31" i="23"/>
  <c r="H31" i="23" s="1"/>
  <c r="H40" i="23"/>
  <c r="J40" i="23" s="1"/>
  <c r="Q29" i="23"/>
  <c r="G11" i="23"/>
  <c r="G12" i="23"/>
  <c r="G22" i="23"/>
  <c r="N24" i="23"/>
  <c r="N20" i="23"/>
  <c r="I15" i="23"/>
  <c r="N32" i="23"/>
  <c r="I29" i="23"/>
  <c r="Q21" i="23"/>
  <c r="G13" i="23"/>
  <c r="N25" i="23"/>
  <c r="I13" i="23"/>
  <c r="H13" i="23" s="1"/>
  <c r="Q25" i="23"/>
  <c r="G14" i="23"/>
  <c r="N17" i="23"/>
  <c r="M38" i="23"/>
  <c r="Q38" i="23"/>
  <c r="Q35" i="23"/>
  <c r="M35" i="23"/>
  <c r="Q37" i="23"/>
  <c r="M37" i="23"/>
  <c r="N23" i="23"/>
  <c r="N31" i="23"/>
  <c r="N18" i="23"/>
  <c r="Q23" i="23"/>
  <c r="N26" i="23"/>
  <c r="Q31" i="23"/>
  <c r="N34" i="23"/>
  <c r="G23" i="23"/>
  <c r="H23" i="23" s="1"/>
  <c r="N19" i="23"/>
  <c r="N27" i="23"/>
  <c r="N22" i="23"/>
  <c r="N30" i="23"/>
  <c r="M45" i="23"/>
  <c r="M46" i="23"/>
  <c r="M40" i="23"/>
  <c r="M47" i="23"/>
  <c r="M36" i="23"/>
  <c r="M48" i="23"/>
  <c r="M41" i="23"/>
  <c r="M49" i="23"/>
  <c r="M50" i="23"/>
  <c r="M42" i="23"/>
  <c r="M43" i="23"/>
  <c r="M51" i="23"/>
  <c r="M39" i="23"/>
  <c r="M44" i="23"/>
  <c r="M52" i="23"/>
  <c r="G7" i="23"/>
  <c r="G8" i="23"/>
  <c r="G9" i="23"/>
  <c r="G10" i="23"/>
  <c r="I12" i="23"/>
  <c r="I11" i="23"/>
  <c r="G17" i="23"/>
  <c r="I18" i="23"/>
  <c r="G21" i="23"/>
  <c r="I22" i="23"/>
  <c r="G25" i="23"/>
  <c r="H25" i="23" s="1"/>
  <c r="I26" i="23"/>
  <c r="G29" i="23"/>
  <c r="I30" i="23"/>
  <c r="I34" i="23"/>
  <c r="H34" i="23" s="1"/>
  <c r="H39" i="23"/>
  <c r="J39" i="23" s="1"/>
  <c r="G15" i="23"/>
  <c r="I17" i="23"/>
  <c r="G20" i="23"/>
  <c r="I21" i="23"/>
  <c r="G24" i="23"/>
  <c r="G28" i="23"/>
  <c r="G32" i="23"/>
  <c r="I7" i="23"/>
  <c r="I8" i="23"/>
  <c r="I9" i="23"/>
  <c r="I10" i="23"/>
  <c r="I20" i="23"/>
  <c r="I24" i="23"/>
  <c r="H24" i="23" s="1"/>
  <c r="I28" i="23"/>
  <c r="H28" i="23" s="1"/>
  <c r="I32" i="23"/>
  <c r="H32" i="23" s="1"/>
  <c r="H33" i="23" l="1"/>
  <c r="H18" i="23"/>
  <c r="H11" i="23"/>
  <c r="H8" i="23"/>
  <c r="H12" i="23"/>
  <c r="H27" i="23"/>
  <c r="H14" i="23"/>
  <c r="H22" i="23"/>
  <c r="H17" i="23"/>
  <c r="H15" i="23"/>
  <c r="H16" i="23"/>
  <c r="H19" i="23"/>
  <c r="H29" i="23"/>
  <c r="H30" i="23"/>
  <c r="H26" i="23"/>
  <c r="H20" i="23"/>
  <c r="H21" i="23"/>
  <c r="H9" i="23"/>
  <c r="Q53" i="23"/>
  <c r="F4" i="23" s="1"/>
  <c r="H10" i="23"/>
  <c r="P7" i="23"/>
  <c r="P9" i="23"/>
  <c r="P8" i="23"/>
  <c r="H7" i="23"/>
  <c r="K15" i="23" l="1"/>
  <c r="N15" i="23" s="1"/>
  <c r="K13" i="23"/>
  <c r="N13" i="23" s="1"/>
  <c r="K11" i="23"/>
  <c r="N11" i="23" s="1"/>
  <c r="K9" i="23"/>
  <c r="N9" i="23" s="1"/>
  <c r="K7" i="23"/>
  <c r="N7" i="23" s="1"/>
  <c r="K16" i="23"/>
  <c r="N16" i="23" s="1"/>
  <c r="K14" i="23"/>
  <c r="N14" i="23" s="1"/>
  <c r="K12" i="23"/>
  <c r="N12" i="23" s="1"/>
  <c r="K10" i="23"/>
  <c r="N10" i="23" s="1"/>
  <c r="K8" i="23"/>
  <c r="N8" i="23" s="1"/>
</calcChain>
</file>

<file path=xl/sharedStrings.xml><?xml version="1.0" encoding="utf-8"?>
<sst xmlns="http://schemas.openxmlformats.org/spreadsheetml/2006/main" count="126" uniqueCount="39">
  <si>
    <t>構造・用途</t>
  </si>
  <si>
    <t>細　　　目</t>
  </si>
  <si>
    <t>耐用数</t>
    <rPh sb="2" eb="3">
      <t>スウ</t>
    </rPh>
    <phoneticPr fontId="4"/>
  </si>
  <si>
    <t>木造・合成樹脂造のもの</t>
  </si>
  <si>
    <t>事務所用のもの</t>
  </si>
  <si>
    <t>店舗用・住宅用のもの</t>
  </si>
  <si>
    <t>飲食店用のもの</t>
  </si>
  <si>
    <t>旅館用・ホテル用・病院用・車庫用のもの</t>
  </si>
  <si>
    <t>公衆浴場用のもの</t>
  </si>
  <si>
    <t>工場用・倉庫用のもの（一般用）</t>
  </si>
  <si>
    <t>鉄骨鉄筋コンクリート造・鉄筋コンクリート造のもの</t>
  </si>
  <si>
    <t>住宅用のもの</t>
  </si>
  <si>
    <t>飲食店用のもの延面積のうちに占める木造内装部分の面積が30％を超えるもの</t>
    <phoneticPr fontId="4"/>
  </si>
  <si>
    <t>旅館用・ホテル用のもの延面積のうちに占める木造内装部分の面積が30％を超えるもの</t>
    <phoneticPr fontId="4"/>
  </si>
  <si>
    <t>店舗用・病院用のもの</t>
  </si>
  <si>
    <t>車庫用のもの</t>
  </si>
  <si>
    <t>れんが造・石造・ブロック造のもの</t>
  </si>
  <si>
    <t>店舗用・住宅用・飲食店用のもの</t>
  </si>
  <si>
    <t>旅館用・ホテル用・病院用のもの</t>
  </si>
  <si>
    <t>金属造のもの</t>
  </si>
  <si>
    <t>飲食店用・車庫用のもの</t>
  </si>
  <si>
    <t>木骨・モルタル造のもの</t>
    <phoneticPr fontId="4"/>
  </si>
  <si>
    <t>木造・合成樹脂造のもの</t>
    <phoneticPr fontId="1"/>
  </si>
  <si>
    <t>事務所用のもの</t>
    <phoneticPr fontId="1"/>
  </si>
  <si>
    <t>構造・用途</t>
    <rPh sb="0" eb="2">
      <t>コウゾウ</t>
    </rPh>
    <rPh sb="3" eb="5">
      <t>ヨウト</t>
    </rPh>
    <phoneticPr fontId="1"/>
  </si>
  <si>
    <t>細目</t>
    <rPh sb="0" eb="2">
      <t>サイモク</t>
    </rPh>
    <phoneticPr fontId="1"/>
  </si>
  <si>
    <t>耐用年数</t>
    <rPh sb="0" eb="2">
      <t>タイヨウ</t>
    </rPh>
    <rPh sb="2" eb="4">
      <t>ネンスウ</t>
    </rPh>
    <phoneticPr fontId="1"/>
  </si>
  <si>
    <t>右のベルトを動かして下さい。</t>
    <rPh sb="0" eb="1">
      <t>ミギ</t>
    </rPh>
    <rPh sb="6" eb="7">
      <t>ウゴ</t>
    </rPh>
    <rPh sb="10" eb="11">
      <t>クダ</t>
    </rPh>
    <phoneticPr fontId="1"/>
  </si>
  <si>
    <t>右のベルトを動かして下さい。</t>
    <phoneticPr fontId="1"/>
  </si>
  <si>
    <t>事務所用のもの</t>
    <phoneticPr fontId="4"/>
  </si>
  <si>
    <t>４㎜を超えるもの</t>
    <phoneticPr fontId="1"/>
  </si>
  <si>
    <t>３㎜を超え、４㎜以下のもの</t>
    <phoneticPr fontId="1"/>
  </si>
  <si>
    <t>３㎜以下のもの</t>
    <phoneticPr fontId="1"/>
  </si>
  <si>
    <t>４㎜以下のもの</t>
    <phoneticPr fontId="1"/>
  </si>
  <si>
    <t>３㎜を超え、５㎜以下のもの</t>
    <phoneticPr fontId="1"/>
  </si>
  <si>
    <t>５㎜を超えるもの</t>
    <phoneticPr fontId="1"/>
  </si>
  <si>
    <t>飲食店用のその他のもの</t>
    <rPh sb="0" eb="4">
      <t>インショクテンヨウ</t>
    </rPh>
    <phoneticPr fontId="1"/>
  </si>
  <si>
    <t>旅館用・ホテル用のその他のもの</t>
    <rPh sb="0" eb="3">
      <t>リョカンヨウ</t>
    </rPh>
    <rPh sb="7" eb="8">
      <t>ヨウ</t>
    </rPh>
    <phoneticPr fontId="1"/>
  </si>
  <si>
    <t>３㎜以下のもの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</si>
</sst>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theme="1"/>
      <name val="Meiryo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6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38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32">
    <xf numFmtId="0" fontId="0" fillId="0" borderId="0" xfId="0">
      <alignment vertical="center"/>
    </xf>
    <xf numFmtId="0" fontId="7" fillId="0" borderId="1" xfId="1" applyFont="1" applyBorder="1" applyAlignment="1">
      <alignment vertical="center" wrapText="1"/>
    </xf>
    <xf numFmtId="0" fontId="7" fillId="0" borderId="1" xfId="1" applyFont="1" applyBorder="1" applyAlignment="1">
      <alignment horizontal="left" vertical="center"/>
    </xf>
    <xf numFmtId="0" fontId="2" fillId="3" borderId="0" xfId="1" applyFill="1">
      <alignment vertical="center"/>
    </xf>
    <xf numFmtId="0" fontId="7" fillId="3" borderId="1" xfId="1" applyFont="1" applyFill="1" applyBorder="1">
      <alignment vertical="center"/>
    </xf>
    <xf numFmtId="0" fontId="7" fillId="3" borderId="0" xfId="1" applyFont="1" applyFill="1">
      <alignment vertical="center"/>
    </xf>
    <xf numFmtId="0" fontId="7" fillId="3" borderId="0" xfId="1" applyFont="1" applyFill="1" applyAlignment="1">
      <alignment horizontal="center" vertical="center"/>
    </xf>
    <xf numFmtId="0" fontId="3" fillId="3" borderId="1" xfId="1" applyFont="1" applyFill="1" applyBorder="1" applyAlignment="1">
      <alignment vertical="top" wrapText="1"/>
    </xf>
    <xf numFmtId="0" fontId="3" fillId="5" borderId="2" xfId="1" applyFont="1" applyFill="1" applyBorder="1" applyAlignment="1">
      <alignment vertical="center" wrapText="1"/>
    </xf>
    <xf numFmtId="0" fontId="3" fillId="5" borderId="10" xfId="1" applyFont="1" applyFill="1" applyBorder="1" applyAlignment="1">
      <alignment vertical="center" wrapText="1"/>
    </xf>
    <xf numFmtId="0" fontId="3" fillId="5" borderId="3" xfId="1" applyFont="1" applyFill="1" applyBorder="1" applyAlignment="1">
      <alignment vertical="center" wrapText="1"/>
    </xf>
    <xf numFmtId="0" fontId="3" fillId="5" borderId="14" xfId="1" applyFont="1" applyFill="1" applyBorder="1" applyAlignment="1">
      <alignment vertical="center" wrapText="1"/>
    </xf>
    <xf numFmtId="0" fontId="3" fillId="5" borderId="3" xfId="1" applyFont="1" applyFill="1" applyBorder="1" applyAlignment="1">
      <alignment horizontal="center" vertical="center" wrapText="1"/>
    </xf>
    <xf numFmtId="0" fontId="3" fillId="5" borderId="15" xfId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2" fillId="5" borderId="0" xfId="1" applyFill="1">
      <alignment vertical="center"/>
    </xf>
    <xf numFmtId="0" fontId="3" fillId="5" borderId="12" xfId="1" applyFont="1" applyFill="1" applyBorder="1" applyAlignment="1">
      <alignment vertical="center" wrapText="1"/>
    </xf>
    <xf numFmtId="0" fontId="3" fillId="5" borderId="14" xfId="1" applyFont="1" applyFill="1" applyBorder="1" applyAlignment="1">
      <alignment horizontal="center" vertical="center" wrapText="1"/>
    </xf>
    <xf numFmtId="0" fontId="3" fillId="5" borderId="17" xfId="1" applyFont="1" applyFill="1" applyBorder="1" applyAlignment="1">
      <alignment horizontal="center" vertical="center" wrapText="1"/>
    </xf>
    <xf numFmtId="0" fontId="3" fillId="5" borderId="13" xfId="1" applyFont="1" applyFill="1" applyBorder="1" applyAlignment="1">
      <alignment horizontal="center" vertical="center" wrapText="1"/>
    </xf>
    <xf numFmtId="0" fontId="5" fillId="5" borderId="5" xfId="1" applyFont="1" applyFill="1" applyBorder="1" applyAlignment="1">
      <alignment vertical="top" wrapText="1"/>
    </xf>
    <xf numFmtId="0" fontId="5" fillId="5" borderId="1" xfId="1" applyFont="1" applyFill="1" applyBorder="1" applyAlignment="1">
      <alignment vertical="top" wrapText="1"/>
    </xf>
    <xf numFmtId="0" fontId="5" fillId="5" borderId="16" xfId="1" applyFont="1" applyFill="1" applyBorder="1" applyAlignment="1">
      <alignment vertical="top" wrapText="1"/>
    </xf>
    <xf numFmtId="0" fontId="5" fillId="5" borderId="6" xfId="1" applyFont="1" applyFill="1" applyBorder="1" applyAlignment="1">
      <alignment horizontal="center" vertical="top" wrapText="1"/>
    </xf>
    <xf numFmtId="0" fontId="5" fillId="5" borderId="11" xfId="1" applyFont="1" applyFill="1" applyBorder="1" applyAlignment="1">
      <alignment vertical="top" wrapText="1"/>
    </xf>
    <xf numFmtId="0" fontId="5" fillId="5" borderId="7" xfId="1" applyFont="1" applyFill="1" applyBorder="1" applyAlignment="1">
      <alignment vertical="top" wrapText="1"/>
    </xf>
    <xf numFmtId="0" fontId="5" fillId="5" borderId="8" xfId="1" applyFont="1" applyFill="1" applyBorder="1" applyAlignment="1">
      <alignment vertical="top" wrapText="1"/>
    </xf>
    <xf numFmtId="0" fontId="5" fillId="5" borderId="18" xfId="1" applyFont="1" applyFill="1" applyBorder="1" applyAlignment="1">
      <alignment vertical="top" wrapText="1"/>
    </xf>
    <xf numFmtId="0" fontId="5" fillId="5" borderId="9" xfId="1" applyFont="1" applyFill="1" applyBorder="1" applyAlignment="1">
      <alignment horizontal="center" vertical="top" wrapText="1"/>
    </xf>
    <xf numFmtId="0" fontId="7" fillId="2" borderId="1" xfId="1" applyFont="1" applyFill="1" applyBorder="1">
      <alignment vertical="center"/>
    </xf>
    <xf numFmtId="0" fontId="7" fillId="4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vertical="top" wrapText="1"/>
    </xf>
  </cellXfs>
  <cellStyles count="8">
    <cellStyle name="パーセント 2 4" xfId="5" xr:uid="{00000000-0005-0000-0000-000001000000}"/>
    <cellStyle name="パーセント 7" xfId="7" xr:uid="{00000000-0005-0000-0000-000002000000}"/>
    <cellStyle name="ハイパーリンク 2" xfId="2" xr:uid="{00000000-0005-0000-0000-000003000000}"/>
    <cellStyle name="桁区切り 11" xfId="6" xr:uid="{00000000-0005-0000-0000-000005000000}"/>
    <cellStyle name="桁区切り 2 10" xfId="3" xr:uid="{00000000-0005-0000-0000-000006000000}"/>
    <cellStyle name="標準" xfId="0" builtinId="0"/>
    <cellStyle name="標準 2" xfId="1" xr:uid="{00000000-0005-0000-0000-000008000000}"/>
    <cellStyle name="標準 2 9" xfId="4" xr:uid="{00000000-0005-0000-0000-000009000000}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3562350</xdr:colOff>
          <xdr:row>0</xdr:row>
          <xdr:rowOff>85725</xdr:rowOff>
        </xdr:from>
        <xdr:to>
          <xdr:col>4</xdr:col>
          <xdr:colOff>0</xdr:colOff>
          <xdr:row>3</xdr:row>
          <xdr:rowOff>114300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検索する前に必ず押してクリアーにしてください。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-server2003\System\NOTE_PC\pb8\kouyou\doc\&#12501;&#12449;&#12452;&#12523;&#20181;&#27096;&#26360;\&#12486;&#12540;&#12502;&#12523;&#23450;&#32681;&#2636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全テーブル"/>
      <sheetName val="mt_buill"/>
      <sheetName val="mt_buill_kei"/>
      <sheetName val="mt_buill_setb"/>
      <sheetName val="mt_buill_furoa"/>
      <sheetName val="mt_buill_biko"/>
      <sheetName val="mt_buill_houkok"/>
      <sheetName val="mt_keiyaku"/>
      <sheetName val="mt_kei_seik"/>
      <sheetName val="mt_keiyakukin"/>
      <sheetName val="mt_kaiyaku"/>
      <sheetName val="mt_kai_seik"/>
      <sheetName val="tr_seikyu"/>
      <sheetName val="tr_nyukin"/>
      <sheetName val="tr_siharai"/>
      <sheetName val="MT_BUDGET"/>
      <sheetName val="MT_ACTUAL"/>
      <sheetName val="mt_lisk"/>
      <sheetName val="mt_syuzen"/>
      <sheetName val="mt_jyokyo"/>
      <sheetName val="mt_jyokyo_biko"/>
      <sheetName val="mt_tenanto"/>
      <sheetName val="mt_gyos"/>
      <sheetName val="mt_bank"/>
      <sheetName val="mt_banks"/>
      <sheetName val="mt_koza_sb"/>
      <sheetName val="mt_himok_dai"/>
      <sheetName val="mt_himok_tyu"/>
      <sheetName val="mt_himok_syo"/>
      <sheetName val="mt_himok_out"/>
      <sheetName val="mt_kjkamk"/>
      <sheetName val="mt_kanren"/>
      <sheetName val="mt_eki"/>
      <sheetName val="mt_ensn"/>
      <sheetName val="mt_jyoho"/>
      <sheetName val="mt_jyohokbn"/>
      <sheetName val="mt_tax"/>
      <sheetName val="mt_yubin_ken"/>
      <sheetName val="mt_yubin_siku"/>
      <sheetName val="mt_yubin_cyouiki"/>
      <sheetName val="FB_CNTM"/>
      <sheetName val="FB_NAYOSE_WK"/>
      <sheetName val="FB_SEVS"/>
      <sheetName val="FB_WORK1"/>
      <sheetName val="FB_WORK2"/>
      <sheetName val="FB_WORK3"/>
      <sheetName val="FB_WORK4"/>
      <sheetName val="FB_WORK5"/>
      <sheetName val="FB_WORK6"/>
      <sheetName val="mt_variable"/>
      <sheetName val="mt_menu_name"/>
      <sheetName val="mt_use_kengen"/>
      <sheetName val="mt_password"/>
      <sheetName val="mt_license"/>
      <sheetName val="mt_bosyu_tin"/>
      <sheetName val="mt_owner"/>
      <sheetName val="mt_buill_kanr"/>
      <sheetName val="mt_buill_ins"/>
      <sheetName val="mt_himok_kb"/>
      <sheetName val="mt_tytle"/>
      <sheetName val="mt_tyohyo_kb"/>
      <sheetName val="mt_system"/>
      <sheetName val="mt_houkoku"/>
      <sheetName val="tr_owner_siha"/>
      <sheetName val="雛形"/>
      <sheetName val="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>
        <row r="2">
          <cell r="B2" t="str">
            <v>numeric</v>
          </cell>
        </row>
        <row r="3">
          <cell r="B3" t="str">
            <v>char</v>
          </cell>
        </row>
        <row r="4">
          <cell r="B4" t="str">
            <v>date</v>
          </cell>
        </row>
        <row r="5">
          <cell r="B5" t="str">
            <v>long varchar</v>
          </cell>
        </row>
        <row r="6">
          <cell r="B6" t="str">
            <v>varchar</v>
          </cell>
        </row>
        <row r="7">
          <cell r="B7" t="str">
            <v>time</v>
          </cell>
        </row>
        <row r="8">
          <cell r="B8" t="str">
            <v>datetime</v>
          </cell>
        </row>
        <row r="10">
          <cell r="B10" t="str">
            <v>新規</v>
          </cell>
        </row>
        <row r="11">
          <cell r="B11" t="str">
            <v>追加</v>
          </cell>
        </row>
        <row r="12">
          <cell r="B12" t="str">
            <v>変更</v>
          </cell>
        </row>
        <row r="14">
          <cell r="B14" t="str">
            <v>1、課税(外) 2、課税(内) 3、非課税 4、対象外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S60"/>
  <sheetViews>
    <sheetView tabSelected="1" workbookViewId="0">
      <selection activeCell="F3" sqref="F3"/>
    </sheetView>
  </sheetViews>
  <sheetFormatPr defaultRowHeight="19.5" customHeight="1"/>
  <cols>
    <col min="1" max="1" width="9" style="3"/>
    <col min="2" max="2" width="52.875" style="3" customWidth="1"/>
    <col min="3" max="3" width="6.125" style="3" customWidth="1"/>
    <col min="4" max="4" width="22.875" style="3" customWidth="1"/>
    <col min="5" max="5" width="13.375" style="3" customWidth="1"/>
    <col min="6" max="6" width="26.75" style="3" customWidth="1"/>
    <col min="7" max="7" width="4.375" style="3" customWidth="1"/>
    <col min="8" max="8" width="3.875" style="3" customWidth="1"/>
    <col min="9" max="9" width="22.875" style="3" customWidth="1"/>
    <col min="10" max="10" width="13.125" style="3" customWidth="1"/>
    <col min="11" max="11" width="24.5" style="3" customWidth="1"/>
    <col min="12" max="12" width="5.125" style="3" customWidth="1"/>
    <col min="13" max="13" width="8.875" style="3" customWidth="1"/>
    <col min="14" max="14" width="24.5" style="3" customWidth="1"/>
    <col min="15" max="15" width="8.875" style="3" customWidth="1"/>
    <col min="16" max="17" width="24.5" style="3" customWidth="1"/>
    <col min="18" max="18" width="17.5" style="3" customWidth="1"/>
    <col min="19" max="270" width="9" style="3"/>
    <col min="271" max="271" width="52.875" style="3" customWidth="1"/>
    <col min="272" max="272" width="82.125" style="3" customWidth="1"/>
    <col min="273" max="273" width="52.875" style="3" customWidth="1"/>
    <col min="274" max="274" width="17.5" style="3" customWidth="1"/>
    <col min="275" max="526" width="9" style="3"/>
    <col min="527" max="527" width="52.875" style="3" customWidth="1"/>
    <col min="528" max="528" width="82.125" style="3" customWidth="1"/>
    <col min="529" max="529" width="52.875" style="3" customWidth="1"/>
    <col min="530" max="530" width="17.5" style="3" customWidth="1"/>
    <col min="531" max="782" width="9" style="3"/>
    <col min="783" max="783" width="52.875" style="3" customWidth="1"/>
    <col min="784" max="784" width="82.125" style="3" customWidth="1"/>
    <col min="785" max="785" width="52.875" style="3" customWidth="1"/>
    <col min="786" max="786" width="17.5" style="3" customWidth="1"/>
    <col min="787" max="1038" width="9" style="3"/>
    <col min="1039" max="1039" width="52.875" style="3" customWidth="1"/>
    <col min="1040" max="1040" width="82.125" style="3" customWidth="1"/>
    <col min="1041" max="1041" width="52.875" style="3" customWidth="1"/>
    <col min="1042" max="1042" width="17.5" style="3" customWidth="1"/>
    <col min="1043" max="1294" width="9" style="3"/>
    <col min="1295" max="1295" width="52.875" style="3" customWidth="1"/>
    <col min="1296" max="1296" width="82.125" style="3" customWidth="1"/>
    <col min="1297" max="1297" width="52.875" style="3" customWidth="1"/>
    <col min="1298" max="1298" width="17.5" style="3" customWidth="1"/>
    <col min="1299" max="1550" width="9" style="3"/>
    <col min="1551" max="1551" width="52.875" style="3" customWidth="1"/>
    <col min="1552" max="1552" width="82.125" style="3" customWidth="1"/>
    <col min="1553" max="1553" width="52.875" style="3" customWidth="1"/>
    <col min="1554" max="1554" width="17.5" style="3" customWidth="1"/>
    <col min="1555" max="1806" width="9" style="3"/>
    <col min="1807" max="1807" width="52.875" style="3" customWidth="1"/>
    <col min="1808" max="1808" width="82.125" style="3" customWidth="1"/>
    <col min="1809" max="1809" width="52.875" style="3" customWidth="1"/>
    <col min="1810" max="1810" width="17.5" style="3" customWidth="1"/>
    <col min="1811" max="2062" width="9" style="3"/>
    <col min="2063" max="2063" width="52.875" style="3" customWidth="1"/>
    <col min="2064" max="2064" width="82.125" style="3" customWidth="1"/>
    <col min="2065" max="2065" width="52.875" style="3" customWidth="1"/>
    <col min="2066" max="2066" width="17.5" style="3" customWidth="1"/>
    <col min="2067" max="2318" width="9" style="3"/>
    <col min="2319" max="2319" width="52.875" style="3" customWidth="1"/>
    <col min="2320" max="2320" width="82.125" style="3" customWidth="1"/>
    <col min="2321" max="2321" width="52.875" style="3" customWidth="1"/>
    <col min="2322" max="2322" width="17.5" style="3" customWidth="1"/>
    <col min="2323" max="2574" width="9" style="3"/>
    <col min="2575" max="2575" width="52.875" style="3" customWidth="1"/>
    <col min="2576" max="2576" width="82.125" style="3" customWidth="1"/>
    <col min="2577" max="2577" width="52.875" style="3" customWidth="1"/>
    <col min="2578" max="2578" width="17.5" style="3" customWidth="1"/>
    <col min="2579" max="2830" width="9" style="3"/>
    <col min="2831" max="2831" width="52.875" style="3" customWidth="1"/>
    <col min="2832" max="2832" width="82.125" style="3" customWidth="1"/>
    <col min="2833" max="2833" width="52.875" style="3" customWidth="1"/>
    <col min="2834" max="2834" width="17.5" style="3" customWidth="1"/>
    <col min="2835" max="3086" width="9" style="3"/>
    <col min="3087" max="3087" width="52.875" style="3" customWidth="1"/>
    <col min="3088" max="3088" width="82.125" style="3" customWidth="1"/>
    <col min="3089" max="3089" width="52.875" style="3" customWidth="1"/>
    <col min="3090" max="3090" width="17.5" style="3" customWidth="1"/>
    <col min="3091" max="3342" width="9" style="3"/>
    <col min="3343" max="3343" width="52.875" style="3" customWidth="1"/>
    <col min="3344" max="3344" width="82.125" style="3" customWidth="1"/>
    <col min="3345" max="3345" width="52.875" style="3" customWidth="1"/>
    <col min="3346" max="3346" width="17.5" style="3" customWidth="1"/>
    <col min="3347" max="3598" width="9" style="3"/>
    <col min="3599" max="3599" width="52.875" style="3" customWidth="1"/>
    <col min="3600" max="3600" width="82.125" style="3" customWidth="1"/>
    <col min="3601" max="3601" width="52.875" style="3" customWidth="1"/>
    <col min="3602" max="3602" width="17.5" style="3" customWidth="1"/>
    <col min="3603" max="3854" width="9" style="3"/>
    <col min="3855" max="3855" width="52.875" style="3" customWidth="1"/>
    <col min="3856" max="3856" width="82.125" style="3" customWidth="1"/>
    <col min="3857" max="3857" width="52.875" style="3" customWidth="1"/>
    <col min="3858" max="3858" width="17.5" style="3" customWidth="1"/>
    <col min="3859" max="4110" width="9" style="3"/>
    <col min="4111" max="4111" width="52.875" style="3" customWidth="1"/>
    <col min="4112" max="4112" width="82.125" style="3" customWidth="1"/>
    <col min="4113" max="4113" width="52.875" style="3" customWidth="1"/>
    <col min="4114" max="4114" width="17.5" style="3" customWidth="1"/>
    <col min="4115" max="4366" width="9" style="3"/>
    <col min="4367" max="4367" width="52.875" style="3" customWidth="1"/>
    <col min="4368" max="4368" width="82.125" style="3" customWidth="1"/>
    <col min="4369" max="4369" width="52.875" style="3" customWidth="1"/>
    <col min="4370" max="4370" width="17.5" style="3" customWidth="1"/>
    <col min="4371" max="4622" width="9" style="3"/>
    <col min="4623" max="4623" width="52.875" style="3" customWidth="1"/>
    <col min="4624" max="4624" width="82.125" style="3" customWidth="1"/>
    <col min="4625" max="4625" width="52.875" style="3" customWidth="1"/>
    <col min="4626" max="4626" width="17.5" style="3" customWidth="1"/>
    <col min="4627" max="4878" width="9" style="3"/>
    <col min="4879" max="4879" width="52.875" style="3" customWidth="1"/>
    <col min="4880" max="4880" width="82.125" style="3" customWidth="1"/>
    <col min="4881" max="4881" width="52.875" style="3" customWidth="1"/>
    <col min="4882" max="4882" width="17.5" style="3" customWidth="1"/>
    <col min="4883" max="5134" width="9" style="3"/>
    <col min="5135" max="5135" width="52.875" style="3" customWidth="1"/>
    <col min="5136" max="5136" width="82.125" style="3" customWidth="1"/>
    <col min="5137" max="5137" width="52.875" style="3" customWidth="1"/>
    <col min="5138" max="5138" width="17.5" style="3" customWidth="1"/>
    <col min="5139" max="5390" width="9" style="3"/>
    <col min="5391" max="5391" width="52.875" style="3" customWidth="1"/>
    <col min="5392" max="5392" width="82.125" style="3" customWidth="1"/>
    <col min="5393" max="5393" width="52.875" style="3" customWidth="1"/>
    <col min="5394" max="5394" width="17.5" style="3" customWidth="1"/>
    <col min="5395" max="5646" width="9" style="3"/>
    <col min="5647" max="5647" width="52.875" style="3" customWidth="1"/>
    <col min="5648" max="5648" width="82.125" style="3" customWidth="1"/>
    <col min="5649" max="5649" width="52.875" style="3" customWidth="1"/>
    <col min="5650" max="5650" width="17.5" style="3" customWidth="1"/>
    <col min="5651" max="5902" width="9" style="3"/>
    <col min="5903" max="5903" width="52.875" style="3" customWidth="1"/>
    <col min="5904" max="5904" width="82.125" style="3" customWidth="1"/>
    <col min="5905" max="5905" width="52.875" style="3" customWidth="1"/>
    <col min="5906" max="5906" width="17.5" style="3" customWidth="1"/>
    <col min="5907" max="6158" width="9" style="3"/>
    <col min="6159" max="6159" width="52.875" style="3" customWidth="1"/>
    <col min="6160" max="6160" width="82.125" style="3" customWidth="1"/>
    <col min="6161" max="6161" width="52.875" style="3" customWidth="1"/>
    <col min="6162" max="6162" width="17.5" style="3" customWidth="1"/>
    <col min="6163" max="6414" width="9" style="3"/>
    <col min="6415" max="6415" width="52.875" style="3" customWidth="1"/>
    <col min="6416" max="6416" width="82.125" style="3" customWidth="1"/>
    <col min="6417" max="6417" width="52.875" style="3" customWidth="1"/>
    <col min="6418" max="6418" width="17.5" style="3" customWidth="1"/>
    <col min="6419" max="6670" width="9" style="3"/>
    <col min="6671" max="6671" width="52.875" style="3" customWidth="1"/>
    <col min="6672" max="6672" width="82.125" style="3" customWidth="1"/>
    <col min="6673" max="6673" width="52.875" style="3" customWidth="1"/>
    <col min="6674" max="6674" width="17.5" style="3" customWidth="1"/>
    <col min="6675" max="6926" width="9" style="3"/>
    <col min="6927" max="6927" width="52.875" style="3" customWidth="1"/>
    <col min="6928" max="6928" width="82.125" style="3" customWidth="1"/>
    <col min="6929" max="6929" width="52.875" style="3" customWidth="1"/>
    <col min="6930" max="6930" width="17.5" style="3" customWidth="1"/>
    <col min="6931" max="7182" width="9" style="3"/>
    <col min="7183" max="7183" width="52.875" style="3" customWidth="1"/>
    <col min="7184" max="7184" width="82.125" style="3" customWidth="1"/>
    <col min="7185" max="7185" width="52.875" style="3" customWidth="1"/>
    <col min="7186" max="7186" width="17.5" style="3" customWidth="1"/>
    <col min="7187" max="7438" width="9" style="3"/>
    <col min="7439" max="7439" width="52.875" style="3" customWidth="1"/>
    <col min="7440" max="7440" width="82.125" style="3" customWidth="1"/>
    <col min="7441" max="7441" width="52.875" style="3" customWidth="1"/>
    <col min="7442" max="7442" width="17.5" style="3" customWidth="1"/>
    <col min="7443" max="7694" width="9" style="3"/>
    <col min="7695" max="7695" width="52.875" style="3" customWidth="1"/>
    <col min="7696" max="7696" width="82.125" style="3" customWidth="1"/>
    <col min="7697" max="7697" width="52.875" style="3" customWidth="1"/>
    <col min="7698" max="7698" width="17.5" style="3" customWidth="1"/>
    <col min="7699" max="7950" width="9" style="3"/>
    <col min="7951" max="7951" width="52.875" style="3" customWidth="1"/>
    <col min="7952" max="7952" width="82.125" style="3" customWidth="1"/>
    <col min="7953" max="7953" width="52.875" style="3" customWidth="1"/>
    <col min="7954" max="7954" width="17.5" style="3" customWidth="1"/>
    <col min="7955" max="8206" width="9" style="3"/>
    <col min="8207" max="8207" width="52.875" style="3" customWidth="1"/>
    <col min="8208" max="8208" width="82.125" style="3" customWidth="1"/>
    <col min="8209" max="8209" width="52.875" style="3" customWidth="1"/>
    <col min="8210" max="8210" width="17.5" style="3" customWidth="1"/>
    <col min="8211" max="8462" width="9" style="3"/>
    <col min="8463" max="8463" width="52.875" style="3" customWidth="1"/>
    <col min="8464" max="8464" width="82.125" style="3" customWidth="1"/>
    <col min="8465" max="8465" width="52.875" style="3" customWidth="1"/>
    <col min="8466" max="8466" width="17.5" style="3" customWidth="1"/>
    <col min="8467" max="8718" width="9" style="3"/>
    <col min="8719" max="8719" width="52.875" style="3" customWidth="1"/>
    <col min="8720" max="8720" width="82.125" style="3" customWidth="1"/>
    <col min="8721" max="8721" width="52.875" style="3" customWidth="1"/>
    <col min="8722" max="8722" width="17.5" style="3" customWidth="1"/>
    <col min="8723" max="8974" width="9" style="3"/>
    <col min="8975" max="8975" width="52.875" style="3" customWidth="1"/>
    <col min="8976" max="8976" width="82.125" style="3" customWidth="1"/>
    <col min="8977" max="8977" width="52.875" style="3" customWidth="1"/>
    <col min="8978" max="8978" width="17.5" style="3" customWidth="1"/>
    <col min="8979" max="9230" width="9" style="3"/>
    <col min="9231" max="9231" width="52.875" style="3" customWidth="1"/>
    <col min="9232" max="9232" width="82.125" style="3" customWidth="1"/>
    <col min="9233" max="9233" width="52.875" style="3" customWidth="1"/>
    <col min="9234" max="9234" width="17.5" style="3" customWidth="1"/>
    <col min="9235" max="9486" width="9" style="3"/>
    <col min="9487" max="9487" width="52.875" style="3" customWidth="1"/>
    <col min="9488" max="9488" width="82.125" style="3" customWidth="1"/>
    <col min="9489" max="9489" width="52.875" style="3" customWidth="1"/>
    <col min="9490" max="9490" width="17.5" style="3" customWidth="1"/>
    <col min="9491" max="9742" width="9" style="3"/>
    <col min="9743" max="9743" width="52.875" style="3" customWidth="1"/>
    <col min="9744" max="9744" width="82.125" style="3" customWidth="1"/>
    <col min="9745" max="9745" width="52.875" style="3" customWidth="1"/>
    <col min="9746" max="9746" width="17.5" style="3" customWidth="1"/>
    <col min="9747" max="9998" width="9" style="3"/>
    <col min="9999" max="9999" width="52.875" style="3" customWidth="1"/>
    <col min="10000" max="10000" width="82.125" style="3" customWidth="1"/>
    <col min="10001" max="10001" width="52.875" style="3" customWidth="1"/>
    <col min="10002" max="10002" width="17.5" style="3" customWidth="1"/>
    <col min="10003" max="10254" width="9" style="3"/>
    <col min="10255" max="10255" width="52.875" style="3" customWidth="1"/>
    <col min="10256" max="10256" width="82.125" style="3" customWidth="1"/>
    <col min="10257" max="10257" width="52.875" style="3" customWidth="1"/>
    <col min="10258" max="10258" width="17.5" style="3" customWidth="1"/>
    <col min="10259" max="10510" width="9" style="3"/>
    <col min="10511" max="10511" width="52.875" style="3" customWidth="1"/>
    <col min="10512" max="10512" width="82.125" style="3" customWidth="1"/>
    <col min="10513" max="10513" width="52.875" style="3" customWidth="1"/>
    <col min="10514" max="10514" width="17.5" style="3" customWidth="1"/>
    <col min="10515" max="10766" width="9" style="3"/>
    <col min="10767" max="10767" width="52.875" style="3" customWidth="1"/>
    <col min="10768" max="10768" width="82.125" style="3" customWidth="1"/>
    <col min="10769" max="10769" width="52.875" style="3" customWidth="1"/>
    <col min="10770" max="10770" width="17.5" style="3" customWidth="1"/>
    <col min="10771" max="11022" width="9" style="3"/>
    <col min="11023" max="11023" width="52.875" style="3" customWidth="1"/>
    <col min="11024" max="11024" width="82.125" style="3" customWidth="1"/>
    <col min="11025" max="11025" width="52.875" style="3" customWidth="1"/>
    <col min="11026" max="11026" width="17.5" style="3" customWidth="1"/>
    <col min="11027" max="11278" width="9" style="3"/>
    <col min="11279" max="11279" width="52.875" style="3" customWidth="1"/>
    <col min="11280" max="11280" width="82.125" style="3" customWidth="1"/>
    <col min="11281" max="11281" width="52.875" style="3" customWidth="1"/>
    <col min="11282" max="11282" width="17.5" style="3" customWidth="1"/>
    <col min="11283" max="11534" width="9" style="3"/>
    <col min="11535" max="11535" width="52.875" style="3" customWidth="1"/>
    <col min="11536" max="11536" width="82.125" style="3" customWidth="1"/>
    <col min="11537" max="11537" width="52.875" style="3" customWidth="1"/>
    <col min="11538" max="11538" width="17.5" style="3" customWidth="1"/>
    <col min="11539" max="11790" width="9" style="3"/>
    <col min="11791" max="11791" width="52.875" style="3" customWidth="1"/>
    <col min="11792" max="11792" width="82.125" style="3" customWidth="1"/>
    <col min="11793" max="11793" width="52.875" style="3" customWidth="1"/>
    <col min="11794" max="11794" width="17.5" style="3" customWidth="1"/>
    <col min="11795" max="12046" width="9" style="3"/>
    <col min="12047" max="12047" width="52.875" style="3" customWidth="1"/>
    <col min="12048" max="12048" width="82.125" style="3" customWidth="1"/>
    <col min="12049" max="12049" width="52.875" style="3" customWidth="1"/>
    <col min="12050" max="12050" width="17.5" style="3" customWidth="1"/>
    <col min="12051" max="12302" width="9" style="3"/>
    <col min="12303" max="12303" width="52.875" style="3" customWidth="1"/>
    <col min="12304" max="12304" width="82.125" style="3" customWidth="1"/>
    <col min="12305" max="12305" width="52.875" style="3" customWidth="1"/>
    <col min="12306" max="12306" width="17.5" style="3" customWidth="1"/>
    <col min="12307" max="12558" width="9" style="3"/>
    <col min="12559" max="12559" width="52.875" style="3" customWidth="1"/>
    <col min="12560" max="12560" width="82.125" style="3" customWidth="1"/>
    <col min="12561" max="12561" width="52.875" style="3" customWidth="1"/>
    <col min="12562" max="12562" width="17.5" style="3" customWidth="1"/>
    <col min="12563" max="12814" width="9" style="3"/>
    <col min="12815" max="12815" width="52.875" style="3" customWidth="1"/>
    <col min="12816" max="12816" width="82.125" style="3" customWidth="1"/>
    <col min="12817" max="12817" width="52.875" style="3" customWidth="1"/>
    <col min="12818" max="12818" width="17.5" style="3" customWidth="1"/>
    <col min="12819" max="13070" width="9" style="3"/>
    <col min="13071" max="13071" width="52.875" style="3" customWidth="1"/>
    <col min="13072" max="13072" width="82.125" style="3" customWidth="1"/>
    <col min="13073" max="13073" width="52.875" style="3" customWidth="1"/>
    <col min="13074" max="13074" width="17.5" style="3" customWidth="1"/>
    <col min="13075" max="13326" width="9" style="3"/>
    <col min="13327" max="13327" width="52.875" style="3" customWidth="1"/>
    <col min="13328" max="13328" width="82.125" style="3" customWidth="1"/>
    <col min="13329" max="13329" width="52.875" style="3" customWidth="1"/>
    <col min="13330" max="13330" width="17.5" style="3" customWidth="1"/>
    <col min="13331" max="13582" width="9" style="3"/>
    <col min="13583" max="13583" width="52.875" style="3" customWidth="1"/>
    <col min="13584" max="13584" width="82.125" style="3" customWidth="1"/>
    <col min="13585" max="13585" width="52.875" style="3" customWidth="1"/>
    <col min="13586" max="13586" width="17.5" style="3" customWidth="1"/>
    <col min="13587" max="13838" width="9" style="3"/>
    <col min="13839" max="13839" width="52.875" style="3" customWidth="1"/>
    <col min="13840" max="13840" width="82.125" style="3" customWidth="1"/>
    <col min="13841" max="13841" width="52.875" style="3" customWidth="1"/>
    <col min="13842" max="13842" width="17.5" style="3" customWidth="1"/>
    <col min="13843" max="14094" width="9" style="3"/>
    <col min="14095" max="14095" width="52.875" style="3" customWidth="1"/>
    <col min="14096" max="14096" width="82.125" style="3" customWidth="1"/>
    <col min="14097" max="14097" width="52.875" style="3" customWidth="1"/>
    <col min="14098" max="14098" width="17.5" style="3" customWidth="1"/>
    <col min="14099" max="14350" width="9" style="3"/>
    <col min="14351" max="14351" width="52.875" style="3" customWidth="1"/>
    <col min="14352" max="14352" width="82.125" style="3" customWidth="1"/>
    <col min="14353" max="14353" width="52.875" style="3" customWidth="1"/>
    <col min="14354" max="14354" width="17.5" style="3" customWidth="1"/>
    <col min="14355" max="14606" width="9" style="3"/>
    <col min="14607" max="14607" width="52.875" style="3" customWidth="1"/>
    <col min="14608" max="14608" width="82.125" style="3" customWidth="1"/>
    <col min="14609" max="14609" width="52.875" style="3" customWidth="1"/>
    <col min="14610" max="14610" width="17.5" style="3" customWidth="1"/>
    <col min="14611" max="14862" width="9" style="3"/>
    <col min="14863" max="14863" width="52.875" style="3" customWidth="1"/>
    <col min="14864" max="14864" width="82.125" style="3" customWidth="1"/>
    <col min="14865" max="14865" width="52.875" style="3" customWidth="1"/>
    <col min="14866" max="14866" width="17.5" style="3" customWidth="1"/>
    <col min="14867" max="15118" width="9" style="3"/>
    <col min="15119" max="15119" width="52.875" style="3" customWidth="1"/>
    <col min="15120" max="15120" width="82.125" style="3" customWidth="1"/>
    <col min="15121" max="15121" width="52.875" style="3" customWidth="1"/>
    <col min="15122" max="15122" width="17.5" style="3" customWidth="1"/>
    <col min="15123" max="15374" width="9" style="3"/>
    <col min="15375" max="15375" width="52.875" style="3" customWidth="1"/>
    <col min="15376" max="15376" width="82.125" style="3" customWidth="1"/>
    <col min="15377" max="15377" width="52.875" style="3" customWidth="1"/>
    <col min="15378" max="15378" width="17.5" style="3" customWidth="1"/>
    <col min="15379" max="15630" width="9" style="3"/>
    <col min="15631" max="15631" width="52.875" style="3" customWidth="1"/>
    <col min="15632" max="15632" width="82.125" style="3" customWidth="1"/>
    <col min="15633" max="15633" width="52.875" style="3" customWidth="1"/>
    <col min="15634" max="15634" width="17.5" style="3" customWidth="1"/>
    <col min="15635" max="15886" width="9" style="3"/>
    <col min="15887" max="15887" width="52.875" style="3" customWidth="1"/>
    <col min="15888" max="15888" width="82.125" style="3" customWidth="1"/>
    <col min="15889" max="15889" width="52.875" style="3" customWidth="1"/>
    <col min="15890" max="15890" width="17.5" style="3" customWidth="1"/>
    <col min="15891" max="16142" width="9" style="3"/>
    <col min="16143" max="16143" width="52.875" style="3" customWidth="1"/>
    <col min="16144" max="16144" width="82.125" style="3" customWidth="1"/>
    <col min="16145" max="16145" width="52.875" style="3" customWidth="1"/>
    <col min="16146" max="16146" width="17.5" style="3" customWidth="1"/>
    <col min="16147" max="16384" width="9" style="3"/>
  </cols>
  <sheetData>
    <row r="1" spans="2:19" ht="42.75" customHeight="1">
      <c r="E1" s="29" t="s">
        <v>24</v>
      </c>
      <c r="F1" s="1" t="s">
        <v>19</v>
      </c>
      <c r="G1" s="5"/>
      <c r="H1" s="5"/>
      <c r="I1" s="5"/>
      <c r="J1" s="5"/>
    </row>
    <row r="2" spans="2:19" ht="65.25" customHeight="1">
      <c r="E2" s="29" t="s">
        <v>25</v>
      </c>
      <c r="F2" s="1" t="s">
        <v>5</v>
      </c>
    </row>
    <row r="3" spans="2:19" ht="19.5" customHeight="1">
      <c r="E3" s="29" t="str">
        <f>IF(F1=B35,"骨格材の肉厚","")</f>
        <v>骨格材の肉厚</v>
      </c>
      <c r="F3" s="2" t="s">
        <v>38</v>
      </c>
    </row>
    <row r="4" spans="2:19" ht="19.5" customHeight="1" thickBot="1">
      <c r="E4" s="29" t="s">
        <v>26</v>
      </c>
      <c r="F4" s="30">
        <f>Q53</f>
        <v>19</v>
      </c>
      <c r="G4" s="6"/>
    </row>
    <row r="5" spans="2:19" ht="19.5" customHeight="1" thickBot="1">
      <c r="B5" s="8" t="s">
        <v>0</v>
      </c>
      <c r="C5" s="9"/>
      <c r="D5" s="10" t="s">
        <v>1</v>
      </c>
      <c r="E5" s="11"/>
      <c r="F5" s="11"/>
      <c r="G5" s="10"/>
      <c r="H5" s="10"/>
      <c r="I5" s="10"/>
      <c r="J5" s="10"/>
      <c r="K5" s="12"/>
      <c r="L5" s="13"/>
      <c r="M5" s="13"/>
      <c r="N5" s="13"/>
      <c r="O5" s="13"/>
      <c r="P5" s="13"/>
      <c r="Q5" s="13"/>
      <c r="R5" s="14" t="s">
        <v>2</v>
      </c>
      <c r="S5" s="15"/>
    </row>
    <row r="6" spans="2:19" ht="19.5" customHeight="1" thickBot="1">
      <c r="B6" s="16"/>
      <c r="C6" s="9"/>
      <c r="D6" s="11"/>
      <c r="E6" s="11"/>
      <c r="F6" s="11"/>
      <c r="G6" s="11"/>
      <c r="H6" s="11"/>
      <c r="I6" s="11" t="s">
        <v>27</v>
      </c>
      <c r="J6" s="11"/>
      <c r="K6" s="17"/>
      <c r="L6" s="18"/>
      <c r="M6" s="18"/>
      <c r="N6" s="18" t="s">
        <v>28</v>
      </c>
      <c r="O6" s="18"/>
      <c r="P6" s="18"/>
      <c r="Q6" s="18"/>
      <c r="R6" s="19"/>
      <c r="S6" s="15"/>
    </row>
    <row r="7" spans="2:19" ht="19.5" customHeight="1" thickBot="1">
      <c r="B7" s="20" t="s">
        <v>22</v>
      </c>
      <c r="C7" s="9">
        <v>1</v>
      </c>
      <c r="D7" s="21" t="s">
        <v>23</v>
      </c>
      <c r="E7" s="21">
        <v>1</v>
      </c>
      <c r="F7" s="21" t="str">
        <f>IF(F1=B7,D7,"")</f>
        <v/>
      </c>
      <c r="G7" s="21" t="str">
        <f>IF(F7="","",E7)</f>
        <v/>
      </c>
      <c r="H7" s="21" t="str">
        <f t="shared" ref="H7:H40" si="0">IF(I7="","",G7)</f>
        <v/>
      </c>
      <c r="I7" s="21" t="str">
        <f t="shared" ref="I7:I33" si="1">F7</f>
        <v/>
      </c>
      <c r="J7" s="21">
        <v>1</v>
      </c>
      <c r="K7" s="21" t="str">
        <f>IF(ISERROR(VLOOKUP(J7,H7:I40,2,FALSE)),"",(VLOOKUP(J7,H7:I40,2,FALSE)))</f>
        <v>事務所用のもの</v>
      </c>
      <c r="L7" s="22"/>
      <c r="M7" s="22"/>
      <c r="N7" s="22" t="str">
        <f>IF(F2=F7,K7,"")</f>
        <v/>
      </c>
      <c r="O7" s="22">
        <v>1</v>
      </c>
      <c r="P7" s="31" t="str">
        <f>IF(ISERROR(VLOOKUP(O7,M35:N52,2,FALSE)),"",(VLOOKUP(O7,M35:N52,2,FALSE)))</f>
        <v>４㎜を超えるもの</v>
      </c>
      <c r="Q7" s="22" t="str">
        <f>IF(F7="","",IF(F2=F7,R7,""))</f>
        <v/>
      </c>
      <c r="R7" s="23">
        <v>24</v>
      </c>
      <c r="S7" s="15">
        <v>1</v>
      </c>
    </row>
    <row r="8" spans="2:19" ht="19.5" customHeight="1" thickBot="1">
      <c r="B8" s="20" t="s">
        <v>3</v>
      </c>
      <c r="C8" s="9">
        <v>1</v>
      </c>
      <c r="D8" s="21" t="s">
        <v>5</v>
      </c>
      <c r="E8" s="21">
        <v>2</v>
      </c>
      <c r="F8" s="21" t="str">
        <f>IF(F1=B8,D8,"")</f>
        <v/>
      </c>
      <c r="G8" s="21" t="str">
        <f t="shared" ref="G8:G34" si="2">IF(F8="","",E8)</f>
        <v/>
      </c>
      <c r="H8" s="21" t="str">
        <f t="shared" si="0"/>
        <v/>
      </c>
      <c r="I8" s="21" t="str">
        <f t="shared" si="1"/>
        <v/>
      </c>
      <c r="J8" s="21">
        <v>2</v>
      </c>
      <c r="K8" s="21" t="str">
        <f>IF(ISERROR(VLOOKUP(J8,H7:I40,2,FALSE)),"",(VLOOKUP(J8,H7:I40,2,FALSE)))</f>
        <v>店舗用・住宅用のもの</v>
      </c>
      <c r="L8" s="22"/>
      <c r="M8" s="22"/>
      <c r="N8" s="22" t="str">
        <f>IF(F2=F8,K8,"")</f>
        <v/>
      </c>
      <c r="O8" s="22">
        <v>2</v>
      </c>
      <c r="P8" s="31" t="str">
        <f>IF(ISERROR(VLOOKUP(O8,M35:N52,2,FALSE)),"",(VLOOKUP(O8,M35:N52,2,FALSE)))</f>
        <v>３㎜を超え、４㎜以下のもの</v>
      </c>
      <c r="Q8" s="22" t="str">
        <f>IF(F8="","",IF(F2=F8,R8,""))</f>
        <v/>
      </c>
      <c r="R8" s="23">
        <v>22</v>
      </c>
      <c r="S8" s="15">
        <v>2</v>
      </c>
    </row>
    <row r="9" spans="2:19" ht="19.5" customHeight="1" thickBot="1">
      <c r="B9" s="20" t="s">
        <v>3</v>
      </c>
      <c r="C9" s="9">
        <v>1</v>
      </c>
      <c r="D9" s="21" t="s">
        <v>6</v>
      </c>
      <c r="E9" s="21">
        <v>3</v>
      </c>
      <c r="F9" s="21" t="str">
        <f>IF(F1=B9,D9,"")</f>
        <v/>
      </c>
      <c r="G9" s="21" t="str">
        <f t="shared" si="2"/>
        <v/>
      </c>
      <c r="H9" s="21" t="str">
        <f t="shared" si="0"/>
        <v/>
      </c>
      <c r="I9" s="21" t="str">
        <f t="shared" si="1"/>
        <v/>
      </c>
      <c r="J9" s="21">
        <v>3</v>
      </c>
      <c r="K9" s="21" t="str">
        <f>IF(ISERROR(VLOOKUP(J9,H7:I40,2,FALSE)),"",(VLOOKUP(J9,H7:I40,2,FALSE)))</f>
        <v>飲食店用・車庫用のもの</v>
      </c>
      <c r="L9" s="22"/>
      <c r="M9" s="22"/>
      <c r="N9" s="22" t="str">
        <f>IF(F2=F9,K9,"")</f>
        <v/>
      </c>
      <c r="O9" s="22">
        <v>3</v>
      </c>
      <c r="P9" s="31" t="str">
        <f>IF(ISERROR(VLOOKUP(O9,M35:N52,2,FALSE)),"",(VLOOKUP(O9,M35:N52,2,FALSE)))</f>
        <v>３㎜以下のもの</v>
      </c>
      <c r="Q9" s="22" t="str">
        <f>IF(F9="","",IF(F2=F9,R9,""))</f>
        <v/>
      </c>
      <c r="R9" s="23">
        <v>20</v>
      </c>
      <c r="S9" s="15">
        <v>3</v>
      </c>
    </row>
    <row r="10" spans="2:19" ht="19.5" customHeight="1" thickBot="1">
      <c r="B10" s="20" t="s">
        <v>3</v>
      </c>
      <c r="C10" s="9">
        <v>1</v>
      </c>
      <c r="D10" s="21" t="s">
        <v>7</v>
      </c>
      <c r="E10" s="21">
        <v>4</v>
      </c>
      <c r="F10" s="21" t="str">
        <f>IF(F1=B10,D10,"")</f>
        <v/>
      </c>
      <c r="G10" s="21" t="str">
        <f t="shared" si="2"/>
        <v/>
      </c>
      <c r="H10" s="21" t="str">
        <f t="shared" si="0"/>
        <v/>
      </c>
      <c r="I10" s="21" t="str">
        <f t="shared" si="1"/>
        <v/>
      </c>
      <c r="J10" s="21">
        <v>4</v>
      </c>
      <c r="K10" s="21" t="str">
        <f>IF(ISERROR(VLOOKUP(J10,H7:I40,2,FALSE)),"",(VLOOKUP(J10,H7:I40,2,FALSE)))</f>
        <v>旅館用・ホテル用・病院用のもの</v>
      </c>
      <c r="L10" s="22"/>
      <c r="M10" s="22"/>
      <c r="N10" s="22" t="str">
        <f>IF(F2=F10,K10,"")</f>
        <v/>
      </c>
      <c r="O10" s="22"/>
      <c r="P10" s="22"/>
      <c r="Q10" s="22" t="str">
        <f>IF(F10="","",IF(F2=F10,R10,""))</f>
        <v/>
      </c>
      <c r="R10" s="23">
        <v>17</v>
      </c>
      <c r="S10" s="15">
        <v>4</v>
      </c>
    </row>
    <row r="11" spans="2:19" ht="19.5" customHeight="1" thickBot="1">
      <c r="B11" s="20" t="s">
        <v>3</v>
      </c>
      <c r="C11" s="9">
        <v>1</v>
      </c>
      <c r="D11" s="21" t="s">
        <v>8</v>
      </c>
      <c r="E11" s="21">
        <v>5</v>
      </c>
      <c r="F11" s="21" t="str">
        <f>IF(F1=B11,D11,"")</f>
        <v/>
      </c>
      <c r="G11" s="21" t="str">
        <f t="shared" si="2"/>
        <v/>
      </c>
      <c r="H11" s="21" t="str">
        <f t="shared" si="0"/>
        <v/>
      </c>
      <c r="I11" s="21" t="str">
        <f t="shared" si="1"/>
        <v/>
      </c>
      <c r="J11" s="21">
        <v>5</v>
      </c>
      <c r="K11" s="21" t="str">
        <f>IF(ISERROR(VLOOKUP(J11,H7:I40,2,FALSE)),"",(VLOOKUP(J11,H7:I40,2,FALSE)))</f>
        <v>公衆浴場用のもの</v>
      </c>
      <c r="L11" s="22"/>
      <c r="M11" s="22"/>
      <c r="N11" s="22" t="str">
        <f>IF(F2=F11,K11,"")</f>
        <v/>
      </c>
      <c r="O11" s="22"/>
      <c r="P11" s="22"/>
      <c r="Q11" s="22" t="str">
        <f>IF(F11="","",IF(F2=F11,R11,""))</f>
        <v/>
      </c>
      <c r="R11" s="23">
        <v>12</v>
      </c>
      <c r="S11" s="15">
        <v>5</v>
      </c>
    </row>
    <row r="12" spans="2:19" ht="19.5" customHeight="1">
      <c r="B12" s="20" t="s">
        <v>3</v>
      </c>
      <c r="C12" s="9">
        <v>1</v>
      </c>
      <c r="D12" s="21" t="s">
        <v>9</v>
      </c>
      <c r="E12" s="21">
        <v>6</v>
      </c>
      <c r="F12" s="21" t="str">
        <f>IF(F1=B12,D12,"")</f>
        <v/>
      </c>
      <c r="G12" s="21" t="str">
        <f t="shared" si="2"/>
        <v/>
      </c>
      <c r="H12" s="21" t="str">
        <f t="shared" si="0"/>
        <v/>
      </c>
      <c r="I12" s="21" t="str">
        <f t="shared" si="1"/>
        <v/>
      </c>
      <c r="J12" s="21">
        <v>6</v>
      </c>
      <c r="K12" s="21" t="str">
        <f>IF(ISERROR(VLOOKUP(J12,H7:I40,2,FALSE)),"",(VLOOKUP(J12,H7:I40,2,FALSE)))</f>
        <v>工場用・倉庫用のもの（一般用）</v>
      </c>
      <c r="L12" s="22"/>
      <c r="M12" s="22"/>
      <c r="N12" s="22" t="str">
        <f>IF(F2=F12,K12,"")</f>
        <v/>
      </c>
      <c r="O12" s="22"/>
      <c r="P12" s="22"/>
      <c r="Q12" s="22" t="str">
        <f>IF(F12="","",IF(F2=F12,R12,""))</f>
        <v/>
      </c>
      <c r="R12" s="23">
        <v>15</v>
      </c>
      <c r="S12" s="15">
        <v>6</v>
      </c>
    </row>
    <row r="13" spans="2:19" ht="19.5" customHeight="1">
      <c r="B13" s="20" t="s">
        <v>21</v>
      </c>
      <c r="C13" s="24">
        <v>2</v>
      </c>
      <c r="D13" s="21" t="s">
        <v>4</v>
      </c>
      <c r="E13" s="21">
        <v>1</v>
      </c>
      <c r="F13" s="21" t="str">
        <f>IF(F1=B13,D13,"")</f>
        <v/>
      </c>
      <c r="G13" s="21" t="str">
        <f t="shared" si="2"/>
        <v/>
      </c>
      <c r="H13" s="21" t="str">
        <f t="shared" si="0"/>
        <v/>
      </c>
      <c r="I13" s="21" t="str">
        <f t="shared" si="1"/>
        <v/>
      </c>
      <c r="J13" s="21">
        <v>7</v>
      </c>
      <c r="K13" s="21" t="str">
        <f>IF(ISERROR(VLOOKUP(J13,H7:I40,2,FALSE)),"",(VLOOKUP(J13,H7:I40,2,FALSE)))</f>
        <v/>
      </c>
      <c r="L13" s="22"/>
      <c r="M13" s="22"/>
      <c r="N13" s="22" t="str">
        <f>IF(F2=F13,K13,"")</f>
        <v/>
      </c>
      <c r="O13" s="22"/>
      <c r="P13" s="22"/>
      <c r="Q13" s="22" t="str">
        <f>IF(F13="","",IF(F2=F13,R13,""))</f>
        <v/>
      </c>
      <c r="R13" s="23">
        <v>22</v>
      </c>
      <c r="S13" s="15">
        <v>7</v>
      </c>
    </row>
    <row r="14" spans="2:19" ht="19.5" customHeight="1">
      <c r="B14" s="20" t="s">
        <v>21</v>
      </c>
      <c r="C14" s="24">
        <v>2</v>
      </c>
      <c r="D14" s="21" t="s">
        <v>5</v>
      </c>
      <c r="E14" s="21">
        <v>2</v>
      </c>
      <c r="F14" s="21" t="str">
        <f>IF(F1=B14,D14,"")</f>
        <v/>
      </c>
      <c r="G14" s="21" t="str">
        <f t="shared" si="2"/>
        <v/>
      </c>
      <c r="H14" s="21" t="str">
        <f t="shared" si="0"/>
        <v/>
      </c>
      <c r="I14" s="21" t="str">
        <f t="shared" si="1"/>
        <v/>
      </c>
      <c r="J14" s="21">
        <v>8</v>
      </c>
      <c r="K14" s="21" t="str">
        <f>IF(ISERROR(VLOOKUP(J14,H7:I40,2,FALSE)),"",(VLOOKUP(J14,H7:I40,2,FALSE)))</f>
        <v/>
      </c>
      <c r="L14" s="22"/>
      <c r="M14" s="22"/>
      <c r="N14" s="22" t="str">
        <f>IF(F2=F14,K14,"")</f>
        <v/>
      </c>
      <c r="O14" s="22"/>
      <c r="P14" s="22"/>
      <c r="Q14" s="22" t="str">
        <f>IF(F14="","",IF(F2=F14,R14,""))</f>
        <v/>
      </c>
      <c r="R14" s="23">
        <v>20</v>
      </c>
      <c r="S14" s="15">
        <v>8</v>
      </c>
    </row>
    <row r="15" spans="2:19" ht="19.5" customHeight="1">
      <c r="B15" s="20" t="s">
        <v>21</v>
      </c>
      <c r="C15" s="24">
        <v>2</v>
      </c>
      <c r="D15" s="21" t="s">
        <v>6</v>
      </c>
      <c r="E15" s="21">
        <v>3</v>
      </c>
      <c r="F15" s="21" t="str">
        <f>IF(F1=B15,D15,"")</f>
        <v/>
      </c>
      <c r="G15" s="21" t="str">
        <f t="shared" si="2"/>
        <v/>
      </c>
      <c r="H15" s="21" t="str">
        <f t="shared" si="0"/>
        <v/>
      </c>
      <c r="I15" s="21" t="str">
        <f t="shared" si="1"/>
        <v/>
      </c>
      <c r="J15" s="21">
        <v>9</v>
      </c>
      <c r="K15" s="21" t="str">
        <f>IF(ISERROR(VLOOKUP(J15,H7:I40,2,FALSE)),"",(VLOOKUP(J15,H7:I40,2,FALSE)))</f>
        <v/>
      </c>
      <c r="L15" s="22"/>
      <c r="M15" s="22"/>
      <c r="N15" s="22" t="str">
        <f>IF(F2=F15,K15,"")</f>
        <v/>
      </c>
      <c r="O15" s="22"/>
      <c r="P15" s="22"/>
      <c r="Q15" s="22" t="str">
        <f>IF(F15="","",IF(F2=F15,R15,""))</f>
        <v/>
      </c>
      <c r="R15" s="23">
        <v>19</v>
      </c>
      <c r="S15" s="15">
        <v>9</v>
      </c>
    </row>
    <row r="16" spans="2:19" ht="19.5" customHeight="1">
      <c r="B16" s="20" t="s">
        <v>21</v>
      </c>
      <c r="C16" s="24">
        <v>2</v>
      </c>
      <c r="D16" s="21" t="s">
        <v>7</v>
      </c>
      <c r="E16" s="21">
        <v>4</v>
      </c>
      <c r="F16" s="21" t="str">
        <f>IF(F1=B16,D16,"")</f>
        <v/>
      </c>
      <c r="G16" s="21" t="str">
        <f t="shared" si="2"/>
        <v/>
      </c>
      <c r="H16" s="21" t="str">
        <f t="shared" si="0"/>
        <v/>
      </c>
      <c r="I16" s="21" t="str">
        <f t="shared" si="1"/>
        <v/>
      </c>
      <c r="J16" s="21">
        <v>10</v>
      </c>
      <c r="K16" s="21" t="str">
        <f>IF(ISERROR(VLOOKUP(J16,H7:I40,2,FALSE)),"",(VLOOKUP(J16,H7:I40,2,FALSE)))</f>
        <v/>
      </c>
      <c r="L16" s="22"/>
      <c r="M16" s="22"/>
      <c r="N16" s="22" t="str">
        <f>IF(F2=F16,K16,"")</f>
        <v/>
      </c>
      <c r="O16" s="22"/>
      <c r="P16" s="22"/>
      <c r="Q16" s="22" t="str">
        <f>IF(F16="","",IF(F2=F16,R16,""))</f>
        <v/>
      </c>
      <c r="R16" s="23">
        <v>15</v>
      </c>
      <c r="S16" s="15">
        <v>10</v>
      </c>
    </row>
    <row r="17" spans="2:19" ht="19.5" customHeight="1">
      <c r="B17" s="20" t="s">
        <v>21</v>
      </c>
      <c r="C17" s="24">
        <v>2</v>
      </c>
      <c r="D17" s="21" t="s">
        <v>8</v>
      </c>
      <c r="E17" s="21">
        <v>5</v>
      </c>
      <c r="F17" s="21" t="str">
        <f>IF(F1=B17,D17,"")</f>
        <v/>
      </c>
      <c r="G17" s="21" t="str">
        <f t="shared" si="2"/>
        <v/>
      </c>
      <c r="H17" s="21" t="str">
        <f t="shared" si="0"/>
        <v/>
      </c>
      <c r="I17" s="21" t="str">
        <f t="shared" si="1"/>
        <v/>
      </c>
      <c r="J17" s="21"/>
      <c r="K17" s="21"/>
      <c r="L17" s="22"/>
      <c r="M17" s="22"/>
      <c r="N17" s="22" t="str">
        <f>IF(F2=F17,K17,"")</f>
        <v/>
      </c>
      <c r="O17" s="22"/>
      <c r="P17" s="22"/>
      <c r="Q17" s="22" t="str">
        <f>IF(F17="","",IF(F2=F17,R17,""))</f>
        <v/>
      </c>
      <c r="R17" s="23">
        <v>11</v>
      </c>
      <c r="S17" s="15">
        <v>11</v>
      </c>
    </row>
    <row r="18" spans="2:19" ht="19.5" customHeight="1">
      <c r="B18" s="20" t="s">
        <v>21</v>
      </c>
      <c r="C18" s="24">
        <v>2</v>
      </c>
      <c r="D18" s="21" t="s">
        <v>9</v>
      </c>
      <c r="E18" s="21">
        <v>6</v>
      </c>
      <c r="F18" s="21" t="str">
        <f>IF(F1=B18,D18,"")</f>
        <v/>
      </c>
      <c r="G18" s="21" t="str">
        <f t="shared" si="2"/>
        <v/>
      </c>
      <c r="H18" s="21" t="str">
        <f t="shared" si="0"/>
        <v/>
      </c>
      <c r="I18" s="21" t="str">
        <f t="shared" si="1"/>
        <v/>
      </c>
      <c r="J18" s="21"/>
      <c r="K18" s="21"/>
      <c r="L18" s="22"/>
      <c r="M18" s="22"/>
      <c r="N18" s="22" t="str">
        <f>IF(F2=F18,K18,"")</f>
        <v/>
      </c>
      <c r="O18" s="22"/>
      <c r="P18" s="22"/>
      <c r="Q18" s="22" t="str">
        <f>IF(F18="","",IF(F2=F18,R18,""))</f>
        <v/>
      </c>
      <c r="R18" s="23">
        <v>14</v>
      </c>
      <c r="S18" s="15">
        <v>12</v>
      </c>
    </row>
    <row r="19" spans="2:19" ht="19.5" customHeight="1">
      <c r="B19" s="20" t="s">
        <v>10</v>
      </c>
      <c r="C19" s="24">
        <v>3</v>
      </c>
      <c r="D19" s="21" t="s">
        <v>4</v>
      </c>
      <c r="E19" s="21">
        <v>1</v>
      </c>
      <c r="F19" s="21" t="str">
        <f>IF(F1=B19,D19,"")</f>
        <v/>
      </c>
      <c r="G19" s="21" t="str">
        <f t="shared" si="2"/>
        <v/>
      </c>
      <c r="H19" s="21" t="str">
        <f t="shared" si="0"/>
        <v/>
      </c>
      <c r="I19" s="21" t="str">
        <f t="shared" si="1"/>
        <v/>
      </c>
      <c r="J19" s="15"/>
      <c r="K19" s="21"/>
      <c r="L19" s="22"/>
      <c r="M19" s="22"/>
      <c r="N19" s="22" t="str">
        <f>IF(F2=F19,K19,"")</f>
        <v/>
      </c>
      <c r="O19" s="22"/>
      <c r="P19" s="22"/>
      <c r="Q19" s="22" t="str">
        <f>IF(F19="","",IF(F2=F19,R19,""))</f>
        <v/>
      </c>
      <c r="R19" s="23">
        <v>50</v>
      </c>
      <c r="S19" s="15">
        <v>13</v>
      </c>
    </row>
    <row r="20" spans="2:19" ht="19.5" customHeight="1">
      <c r="B20" s="20" t="s">
        <v>10</v>
      </c>
      <c r="C20" s="24">
        <v>3</v>
      </c>
      <c r="D20" s="21" t="s">
        <v>11</v>
      </c>
      <c r="E20" s="21">
        <v>2</v>
      </c>
      <c r="F20" s="21" t="str">
        <f>IF(F1=B20,D20,"")</f>
        <v/>
      </c>
      <c r="G20" s="21" t="str">
        <f t="shared" si="2"/>
        <v/>
      </c>
      <c r="H20" s="21" t="str">
        <f t="shared" si="0"/>
        <v/>
      </c>
      <c r="I20" s="21" t="str">
        <f t="shared" si="1"/>
        <v/>
      </c>
      <c r="J20" s="21"/>
      <c r="K20" s="21"/>
      <c r="L20" s="22"/>
      <c r="M20" s="22"/>
      <c r="N20" s="22" t="str">
        <f>IF(F2=F20,K20,"")</f>
        <v/>
      </c>
      <c r="O20" s="22"/>
      <c r="P20" s="22"/>
      <c r="Q20" s="22" t="str">
        <f>IF(F20="","",IF(F2=F20,R20,""))</f>
        <v/>
      </c>
      <c r="R20" s="23">
        <v>47</v>
      </c>
      <c r="S20" s="15">
        <v>14</v>
      </c>
    </row>
    <row r="21" spans="2:19" ht="19.5" customHeight="1">
      <c r="B21" s="20" t="s">
        <v>10</v>
      </c>
      <c r="C21" s="24">
        <v>3</v>
      </c>
      <c r="D21" s="21" t="s">
        <v>12</v>
      </c>
      <c r="E21" s="21">
        <v>3</v>
      </c>
      <c r="F21" s="21" t="str">
        <f>IF(F1=B21,D21,"")</f>
        <v/>
      </c>
      <c r="G21" s="21" t="str">
        <f t="shared" si="2"/>
        <v/>
      </c>
      <c r="H21" s="21" t="str">
        <f t="shared" si="0"/>
        <v/>
      </c>
      <c r="I21" s="21" t="str">
        <f t="shared" si="1"/>
        <v/>
      </c>
      <c r="J21" s="21"/>
      <c r="K21" s="21"/>
      <c r="L21" s="22"/>
      <c r="M21" s="22"/>
      <c r="N21" s="22" t="str">
        <f>IF(F2=F21,K21,"")</f>
        <v/>
      </c>
      <c r="O21" s="22"/>
      <c r="P21" s="22"/>
      <c r="Q21" s="22" t="str">
        <f>IF(F21="","",IF(F2=F21,R21,""))</f>
        <v/>
      </c>
      <c r="R21" s="23">
        <v>34</v>
      </c>
      <c r="S21" s="15">
        <v>15</v>
      </c>
    </row>
    <row r="22" spans="2:19" ht="19.5" customHeight="1">
      <c r="B22" s="20" t="s">
        <v>10</v>
      </c>
      <c r="C22" s="24">
        <v>3</v>
      </c>
      <c r="D22" s="21" t="s">
        <v>36</v>
      </c>
      <c r="E22" s="21">
        <v>4</v>
      </c>
      <c r="F22" s="21" t="str">
        <f>IF(F1=B22,D22,"")</f>
        <v/>
      </c>
      <c r="G22" s="21" t="str">
        <f t="shared" si="2"/>
        <v/>
      </c>
      <c r="H22" s="21" t="str">
        <f t="shared" si="0"/>
        <v/>
      </c>
      <c r="I22" s="21" t="str">
        <f t="shared" si="1"/>
        <v/>
      </c>
      <c r="J22" s="21"/>
      <c r="K22" s="21"/>
      <c r="L22" s="22"/>
      <c r="M22" s="22"/>
      <c r="N22" s="22" t="str">
        <f>IF(F2=F22,K22,"")</f>
        <v/>
      </c>
      <c r="O22" s="22"/>
      <c r="P22" s="22"/>
      <c r="Q22" s="22" t="str">
        <f>IF(F22="","",IF(F2=F22,R22,""))</f>
        <v/>
      </c>
      <c r="R22" s="23">
        <v>41</v>
      </c>
      <c r="S22" s="15">
        <v>16</v>
      </c>
    </row>
    <row r="23" spans="2:19" ht="19.5" customHeight="1">
      <c r="B23" s="20" t="s">
        <v>10</v>
      </c>
      <c r="C23" s="24">
        <v>3</v>
      </c>
      <c r="D23" s="21" t="s">
        <v>13</v>
      </c>
      <c r="E23" s="21">
        <v>5</v>
      </c>
      <c r="F23" s="21" t="str">
        <f>IF(F1=B23,D23,"")</f>
        <v/>
      </c>
      <c r="G23" s="21" t="str">
        <f t="shared" si="2"/>
        <v/>
      </c>
      <c r="H23" s="21" t="str">
        <f t="shared" si="0"/>
        <v/>
      </c>
      <c r="I23" s="21" t="str">
        <f t="shared" si="1"/>
        <v/>
      </c>
      <c r="J23" s="21"/>
      <c r="K23" s="21"/>
      <c r="L23" s="22"/>
      <c r="M23" s="22"/>
      <c r="N23" s="22" t="str">
        <f>IF(F2=F23,K23,"")</f>
        <v/>
      </c>
      <c r="O23" s="22"/>
      <c r="P23" s="22"/>
      <c r="Q23" s="22" t="str">
        <f>IF(F23="","",IF(F2=F23,R23,""))</f>
        <v/>
      </c>
      <c r="R23" s="23">
        <v>31</v>
      </c>
      <c r="S23" s="15">
        <v>17</v>
      </c>
    </row>
    <row r="24" spans="2:19" ht="19.5" customHeight="1">
      <c r="B24" s="20" t="s">
        <v>10</v>
      </c>
      <c r="C24" s="24">
        <v>3</v>
      </c>
      <c r="D24" s="21" t="s">
        <v>37</v>
      </c>
      <c r="E24" s="21">
        <v>6</v>
      </c>
      <c r="F24" s="21" t="str">
        <f>IF(F1=B24,D24,"")</f>
        <v/>
      </c>
      <c r="G24" s="21" t="str">
        <f t="shared" si="2"/>
        <v/>
      </c>
      <c r="H24" s="21" t="str">
        <f t="shared" si="0"/>
        <v/>
      </c>
      <c r="I24" s="21" t="str">
        <f t="shared" si="1"/>
        <v/>
      </c>
      <c r="J24" s="21"/>
      <c r="K24" s="21"/>
      <c r="L24" s="22"/>
      <c r="M24" s="22"/>
      <c r="N24" s="22" t="str">
        <f>IF(F2=F24,K24,"")</f>
        <v/>
      </c>
      <c r="O24" s="22"/>
      <c r="P24" s="22"/>
      <c r="Q24" s="22" t="str">
        <f>IF(F24="","",IF(F2=F24,R24,""))</f>
        <v/>
      </c>
      <c r="R24" s="23">
        <v>39</v>
      </c>
      <c r="S24" s="15">
        <v>18</v>
      </c>
    </row>
    <row r="25" spans="2:19" ht="19.5" customHeight="1">
      <c r="B25" s="20" t="s">
        <v>10</v>
      </c>
      <c r="C25" s="24">
        <v>3</v>
      </c>
      <c r="D25" s="21" t="s">
        <v>14</v>
      </c>
      <c r="E25" s="21">
        <v>7</v>
      </c>
      <c r="F25" s="21" t="str">
        <f>IF(F1=B25,D25,"")</f>
        <v/>
      </c>
      <c r="G25" s="21" t="str">
        <f t="shared" si="2"/>
        <v/>
      </c>
      <c r="H25" s="21" t="str">
        <f t="shared" si="0"/>
        <v/>
      </c>
      <c r="I25" s="21" t="str">
        <f t="shared" si="1"/>
        <v/>
      </c>
      <c r="J25" s="21"/>
      <c r="K25" s="21"/>
      <c r="L25" s="22"/>
      <c r="M25" s="22"/>
      <c r="N25" s="22" t="str">
        <f>IF(F2=F25,K25,"")</f>
        <v/>
      </c>
      <c r="O25" s="22"/>
      <c r="P25" s="22"/>
      <c r="Q25" s="22" t="str">
        <f>IF(F25="","",IF(F2=F25,R25,""))</f>
        <v/>
      </c>
      <c r="R25" s="23">
        <v>39</v>
      </c>
      <c r="S25" s="15">
        <v>19</v>
      </c>
    </row>
    <row r="26" spans="2:19" ht="19.5" customHeight="1">
      <c r="B26" s="20" t="s">
        <v>10</v>
      </c>
      <c r="C26" s="24">
        <v>3</v>
      </c>
      <c r="D26" s="21" t="s">
        <v>15</v>
      </c>
      <c r="E26" s="21">
        <v>8</v>
      </c>
      <c r="F26" s="21" t="str">
        <f>IF(F1=B26,D26,"")</f>
        <v/>
      </c>
      <c r="G26" s="21" t="str">
        <f t="shared" si="2"/>
        <v/>
      </c>
      <c r="H26" s="21" t="str">
        <f t="shared" si="0"/>
        <v/>
      </c>
      <c r="I26" s="21" t="str">
        <f t="shared" si="1"/>
        <v/>
      </c>
      <c r="J26" s="21"/>
      <c r="K26" s="21"/>
      <c r="L26" s="22"/>
      <c r="M26" s="22"/>
      <c r="N26" s="22" t="str">
        <f>IF(F2=F26,K26,"")</f>
        <v/>
      </c>
      <c r="O26" s="22"/>
      <c r="P26" s="22"/>
      <c r="Q26" s="22" t="str">
        <f>IF(F26="","",IF(F2=F26,R26,""))</f>
        <v/>
      </c>
      <c r="R26" s="23">
        <v>38</v>
      </c>
      <c r="S26" s="15">
        <v>20</v>
      </c>
    </row>
    <row r="27" spans="2:19" ht="19.5" customHeight="1">
      <c r="B27" s="20" t="s">
        <v>10</v>
      </c>
      <c r="C27" s="24">
        <v>3</v>
      </c>
      <c r="D27" s="21" t="s">
        <v>8</v>
      </c>
      <c r="E27" s="21">
        <v>9</v>
      </c>
      <c r="F27" s="21" t="str">
        <f>IF(F1=B27,D27,"")</f>
        <v/>
      </c>
      <c r="G27" s="21" t="str">
        <f t="shared" si="2"/>
        <v/>
      </c>
      <c r="H27" s="21" t="str">
        <f t="shared" si="0"/>
        <v/>
      </c>
      <c r="I27" s="21" t="str">
        <f t="shared" si="1"/>
        <v/>
      </c>
      <c r="J27" s="21"/>
      <c r="K27" s="21"/>
      <c r="L27" s="22"/>
      <c r="M27" s="22"/>
      <c r="N27" s="22" t="str">
        <f>IF(F2=F27,K27,"")</f>
        <v/>
      </c>
      <c r="O27" s="22"/>
      <c r="P27" s="22"/>
      <c r="Q27" s="22" t="str">
        <f>IF(F27="","",IF(F2=F27,R27,""))</f>
        <v/>
      </c>
      <c r="R27" s="23">
        <v>31</v>
      </c>
      <c r="S27" s="15">
        <v>21</v>
      </c>
    </row>
    <row r="28" spans="2:19" ht="19.5" customHeight="1">
      <c r="B28" s="20" t="s">
        <v>10</v>
      </c>
      <c r="C28" s="24">
        <v>3</v>
      </c>
      <c r="D28" s="21" t="s">
        <v>9</v>
      </c>
      <c r="E28" s="21">
        <v>10</v>
      </c>
      <c r="F28" s="21" t="str">
        <f>IF(F1=B28,D28,"")</f>
        <v/>
      </c>
      <c r="G28" s="21" t="str">
        <f t="shared" si="2"/>
        <v/>
      </c>
      <c r="H28" s="21" t="str">
        <f t="shared" si="0"/>
        <v/>
      </c>
      <c r="I28" s="21" t="str">
        <f t="shared" si="1"/>
        <v/>
      </c>
      <c r="J28" s="21"/>
      <c r="K28" s="21"/>
      <c r="L28" s="22"/>
      <c r="M28" s="22"/>
      <c r="N28" s="22" t="str">
        <f>IF(F2=F28,K28,"")</f>
        <v/>
      </c>
      <c r="O28" s="22"/>
      <c r="P28" s="22"/>
      <c r="Q28" s="22" t="str">
        <f>IF(F28="","",IF(F2=F28,R28,""))</f>
        <v/>
      </c>
      <c r="R28" s="23">
        <v>38</v>
      </c>
      <c r="S28" s="15">
        <v>22</v>
      </c>
    </row>
    <row r="29" spans="2:19" ht="19.5" customHeight="1">
      <c r="B29" s="20" t="s">
        <v>16</v>
      </c>
      <c r="C29" s="24">
        <v>4</v>
      </c>
      <c r="D29" s="21" t="s">
        <v>4</v>
      </c>
      <c r="E29" s="21">
        <v>1</v>
      </c>
      <c r="F29" s="21" t="str">
        <f>IF(F1=B29,D29,"")</f>
        <v/>
      </c>
      <c r="G29" s="21" t="str">
        <f t="shared" si="2"/>
        <v/>
      </c>
      <c r="H29" s="21" t="str">
        <f t="shared" si="0"/>
        <v/>
      </c>
      <c r="I29" s="21" t="str">
        <f t="shared" si="1"/>
        <v/>
      </c>
      <c r="J29" s="21"/>
      <c r="K29" s="21"/>
      <c r="L29" s="22"/>
      <c r="M29" s="22"/>
      <c r="N29" s="22" t="str">
        <f>IF(F2=F29,K29,"")</f>
        <v/>
      </c>
      <c r="O29" s="22"/>
      <c r="P29" s="22"/>
      <c r="Q29" s="22" t="str">
        <f>IF(F29="","",IF(F2=F29,R29,""))</f>
        <v/>
      </c>
      <c r="R29" s="23">
        <v>41</v>
      </c>
      <c r="S29" s="15">
        <v>23</v>
      </c>
    </row>
    <row r="30" spans="2:19" ht="19.5" customHeight="1">
      <c r="B30" s="20" t="s">
        <v>16</v>
      </c>
      <c r="C30" s="24">
        <v>4</v>
      </c>
      <c r="D30" s="21" t="s">
        <v>17</v>
      </c>
      <c r="E30" s="21">
        <v>2</v>
      </c>
      <c r="F30" s="21" t="str">
        <f>IF(F1=B30,D30,"")</f>
        <v/>
      </c>
      <c r="G30" s="21" t="str">
        <f t="shared" si="2"/>
        <v/>
      </c>
      <c r="H30" s="21" t="str">
        <f t="shared" si="0"/>
        <v/>
      </c>
      <c r="I30" s="21" t="str">
        <f t="shared" si="1"/>
        <v/>
      </c>
      <c r="J30" s="21"/>
      <c r="K30" s="21"/>
      <c r="L30" s="22"/>
      <c r="M30" s="22"/>
      <c r="N30" s="22" t="str">
        <f>IF(F2=F30,K30,"")</f>
        <v/>
      </c>
      <c r="O30" s="22"/>
      <c r="P30" s="22"/>
      <c r="Q30" s="22" t="str">
        <f>IF(F30="","",IF(F2=F30,R30,""))</f>
        <v/>
      </c>
      <c r="R30" s="23">
        <v>38</v>
      </c>
      <c r="S30" s="15">
        <v>24</v>
      </c>
    </row>
    <row r="31" spans="2:19" ht="19.5" customHeight="1">
      <c r="B31" s="20" t="s">
        <v>16</v>
      </c>
      <c r="C31" s="24">
        <v>4</v>
      </c>
      <c r="D31" s="21" t="s">
        <v>18</v>
      </c>
      <c r="E31" s="21">
        <v>3</v>
      </c>
      <c r="F31" s="21" t="str">
        <f>IF(F1=B31,D31,"")</f>
        <v/>
      </c>
      <c r="G31" s="21" t="str">
        <f t="shared" si="2"/>
        <v/>
      </c>
      <c r="H31" s="21" t="str">
        <f t="shared" si="0"/>
        <v/>
      </c>
      <c r="I31" s="21" t="str">
        <f t="shared" si="1"/>
        <v/>
      </c>
      <c r="J31" s="21"/>
      <c r="K31" s="21"/>
      <c r="L31" s="22"/>
      <c r="M31" s="22"/>
      <c r="N31" s="22" t="str">
        <f>IF(F2=F31,K31,"")</f>
        <v/>
      </c>
      <c r="O31" s="22"/>
      <c r="P31" s="22"/>
      <c r="Q31" s="22" t="str">
        <f>IF(F31="","",IF(F2=F31,R31,""))</f>
        <v/>
      </c>
      <c r="R31" s="23">
        <v>36</v>
      </c>
      <c r="S31" s="15">
        <v>25</v>
      </c>
    </row>
    <row r="32" spans="2:19" ht="19.5" customHeight="1">
      <c r="B32" s="20" t="s">
        <v>16</v>
      </c>
      <c r="C32" s="24">
        <v>4</v>
      </c>
      <c r="D32" s="21" t="s">
        <v>15</v>
      </c>
      <c r="E32" s="21">
        <v>4</v>
      </c>
      <c r="F32" s="21" t="str">
        <f>IF(F1=B32,D32,"")</f>
        <v/>
      </c>
      <c r="G32" s="21" t="str">
        <f t="shared" si="2"/>
        <v/>
      </c>
      <c r="H32" s="21" t="str">
        <f t="shared" si="0"/>
        <v/>
      </c>
      <c r="I32" s="21" t="str">
        <f t="shared" si="1"/>
        <v/>
      </c>
      <c r="J32" s="21"/>
      <c r="K32" s="21"/>
      <c r="L32" s="22"/>
      <c r="M32" s="22"/>
      <c r="N32" s="22" t="str">
        <f>IF(F2=F32,K32,"")</f>
        <v/>
      </c>
      <c r="O32" s="22"/>
      <c r="P32" s="22"/>
      <c r="Q32" s="22" t="str">
        <f>IF(F32="","",IF(F2=F32,R32,""))</f>
        <v/>
      </c>
      <c r="R32" s="23">
        <v>34</v>
      </c>
      <c r="S32" s="15">
        <v>26</v>
      </c>
    </row>
    <row r="33" spans="2:19" ht="19.5" customHeight="1">
      <c r="B33" s="20" t="s">
        <v>16</v>
      </c>
      <c r="C33" s="24">
        <v>4</v>
      </c>
      <c r="D33" s="21" t="s">
        <v>8</v>
      </c>
      <c r="E33" s="21">
        <v>5</v>
      </c>
      <c r="F33" s="21" t="str">
        <f>IF(F1=B33,D33,"")</f>
        <v/>
      </c>
      <c r="G33" s="21" t="str">
        <f t="shared" si="2"/>
        <v/>
      </c>
      <c r="H33" s="21" t="str">
        <f t="shared" si="0"/>
        <v/>
      </c>
      <c r="I33" s="21" t="str">
        <f t="shared" si="1"/>
        <v/>
      </c>
      <c r="J33" s="21"/>
      <c r="K33" s="21"/>
      <c r="L33" s="22"/>
      <c r="M33" s="22"/>
      <c r="N33" s="22" t="str">
        <f>IF(F2=F33,K33,"")</f>
        <v/>
      </c>
      <c r="O33" s="22"/>
      <c r="P33" s="22"/>
      <c r="Q33" s="22" t="str">
        <f>IF(F33="","",IF(F2=F33,R33,""))</f>
        <v/>
      </c>
      <c r="R33" s="23">
        <v>30</v>
      </c>
      <c r="S33" s="15">
        <v>27</v>
      </c>
    </row>
    <row r="34" spans="2:19" ht="19.5" customHeight="1">
      <c r="B34" s="20" t="s">
        <v>16</v>
      </c>
      <c r="C34" s="24">
        <v>4</v>
      </c>
      <c r="D34" s="21" t="s">
        <v>9</v>
      </c>
      <c r="E34" s="21">
        <v>6</v>
      </c>
      <c r="F34" s="21" t="str">
        <f>IF(F1=B34,D34,"")</f>
        <v/>
      </c>
      <c r="G34" s="21" t="str">
        <f t="shared" si="2"/>
        <v/>
      </c>
      <c r="H34" s="21" t="str">
        <f t="shared" si="0"/>
        <v/>
      </c>
      <c r="I34" s="21" t="str">
        <f>F34</f>
        <v/>
      </c>
      <c r="J34" s="21"/>
      <c r="K34" s="21"/>
      <c r="L34" s="22"/>
      <c r="M34" s="22"/>
      <c r="N34" s="22" t="str">
        <f>IF(F2=F34,K34,"")</f>
        <v/>
      </c>
      <c r="O34" s="22"/>
      <c r="P34" s="22"/>
      <c r="Q34" s="22" t="str">
        <f>IF(F34="","",IF(F2=F34,R34,""))</f>
        <v/>
      </c>
      <c r="R34" s="23">
        <v>34</v>
      </c>
      <c r="S34" s="15">
        <v>28</v>
      </c>
    </row>
    <row r="35" spans="2:19" ht="19.5" customHeight="1">
      <c r="B35" s="20" t="s">
        <v>19</v>
      </c>
      <c r="C35" s="24">
        <v>5</v>
      </c>
      <c r="D35" s="21" t="s">
        <v>29</v>
      </c>
      <c r="E35" s="21"/>
      <c r="F35" s="21" t="str">
        <f>IF(F1=B35,D35,"")</f>
        <v>事務所用のもの</v>
      </c>
      <c r="G35" s="21">
        <v>1</v>
      </c>
      <c r="H35" s="21">
        <f t="shared" si="0"/>
        <v>1</v>
      </c>
      <c r="I35" s="21" t="str">
        <f>IF(F1=B35,D35,"")</f>
        <v>事務所用のもの</v>
      </c>
      <c r="J35" s="21">
        <f t="shared" ref="J35:J40" si="3">IF(I35="","",H35)</f>
        <v>1</v>
      </c>
      <c r="K35" s="21" t="s">
        <v>30</v>
      </c>
      <c r="L35" s="22">
        <v>1</v>
      </c>
      <c r="M35" s="22" t="str">
        <f t="shared" ref="M35:M52" si="4">IF(N35="","",L35)</f>
        <v/>
      </c>
      <c r="N35" s="22" t="str">
        <f>IF(F2=F35,K35,"")</f>
        <v/>
      </c>
      <c r="O35" s="22"/>
      <c r="P35" s="22"/>
      <c r="Q35" s="22" t="str">
        <f>IF(N35="","",IF(F3=N35,R35,""))</f>
        <v/>
      </c>
      <c r="R35" s="23">
        <v>38</v>
      </c>
      <c r="S35" s="15">
        <v>29</v>
      </c>
    </row>
    <row r="36" spans="2:19" ht="19.5" customHeight="1">
      <c r="B36" s="20" t="s">
        <v>19</v>
      </c>
      <c r="C36" s="24">
        <v>5</v>
      </c>
      <c r="D36" s="21" t="s">
        <v>29</v>
      </c>
      <c r="E36" s="21"/>
      <c r="F36" s="21" t="str">
        <f>IF(F1=B36,D36,"")</f>
        <v>事務所用のもの</v>
      </c>
      <c r="G36" s="21">
        <v>2</v>
      </c>
      <c r="H36" s="21">
        <f t="shared" si="0"/>
        <v>2</v>
      </c>
      <c r="I36" s="21" t="str">
        <f>IF(F1=B35,D38,"")</f>
        <v>店舗用・住宅用のもの</v>
      </c>
      <c r="J36" s="21">
        <f t="shared" si="3"/>
        <v>2</v>
      </c>
      <c r="K36" s="21" t="s">
        <v>31</v>
      </c>
      <c r="L36" s="22">
        <v>2</v>
      </c>
      <c r="M36" s="22" t="str">
        <f t="shared" si="4"/>
        <v/>
      </c>
      <c r="N36" s="22" t="str">
        <f>IF(F2=F36,K36,"")</f>
        <v/>
      </c>
      <c r="O36" s="22"/>
      <c r="P36" s="22"/>
      <c r="Q36" s="22" t="str">
        <f>IF(N36="","",IF(F3=N36,R36,""))</f>
        <v/>
      </c>
      <c r="R36" s="23">
        <v>30</v>
      </c>
      <c r="S36" s="15">
        <v>30</v>
      </c>
    </row>
    <row r="37" spans="2:19" ht="19.5" customHeight="1">
      <c r="B37" s="20" t="s">
        <v>19</v>
      </c>
      <c r="C37" s="24">
        <v>5</v>
      </c>
      <c r="D37" s="21" t="s">
        <v>29</v>
      </c>
      <c r="E37" s="21"/>
      <c r="F37" s="21" t="str">
        <f>IF(F1=B37,D37,"")</f>
        <v>事務所用のもの</v>
      </c>
      <c r="G37" s="21">
        <v>3</v>
      </c>
      <c r="H37" s="21">
        <f t="shared" si="0"/>
        <v>3</v>
      </c>
      <c r="I37" s="21" t="str">
        <f>IF(F1=B35,D41,"")</f>
        <v>飲食店用・車庫用のもの</v>
      </c>
      <c r="J37" s="21">
        <f t="shared" si="3"/>
        <v>3</v>
      </c>
      <c r="K37" s="21" t="s">
        <v>32</v>
      </c>
      <c r="L37" s="22">
        <v>3</v>
      </c>
      <c r="M37" s="22" t="str">
        <f t="shared" si="4"/>
        <v/>
      </c>
      <c r="N37" s="22" t="str">
        <f>IF(F2=F37,K37,"")</f>
        <v/>
      </c>
      <c r="O37" s="22"/>
      <c r="P37" s="22"/>
      <c r="Q37" s="22" t="str">
        <f>IF(N37="","",IF(F3=N37,R37,""))</f>
        <v/>
      </c>
      <c r="R37" s="23">
        <v>22</v>
      </c>
      <c r="S37" s="15">
        <v>31</v>
      </c>
    </row>
    <row r="38" spans="2:19" ht="19.5" customHeight="1">
      <c r="B38" s="20" t="s">
        <v>19</v>
      </c>
      <c r="C38" s="24">
        <v>5</v>
      </c>
      <c r="D38" s="21" t="s">
        <v>5</v>
      </c>
      <c r="E38" s="21"/>
      <c r="F38" s="21" t="str">
        <f>IF(F1=B38,D38,"")</f>
        <v>店舗用・住宅用のもの</v>
      </c>
      <c r="G38" s="21">
        <v>4</v>
      </c>
      <c r="H38" s="21">
        <f t="shared" si="0"/>
        <v>4</v>
      </c>
      <c r="I38" s="21" t="str">
        <f>IF(F1=B35,D46,"")</f>
        <v>旅館用・ホテル用・病院用のもの</v>
      </c>
      <c r="J38" s="21">
        <f t="shared" si="3"/>
        <v>4</v>
      </c>
      <c r="K38" s="21" t="s">
        <v>30</v>
      </c>
      <c r="L38" s="22">
        <v>1</v>
      </c>
      <c r="M38" s="22">
        <f t="shared" si="4"/>
        <v>1</v>
      </c>
      <c r="N38" s="22" t="str">
        <f>IF(F2=F38,K38,"")</f>
        <v>４㎜を超えるもの</v>
      </c>
      <c r="O38" s="22"/>
      <c r="P38" s="22"/>
      <c r="Q38" s="22" t="str">
        <f>IF(N38="","",IF(F3=N38,R38,""))</f>
        <v/>
      </c>
      <c r="R38" s="23">
        <v>34</v>
      </c>
      <c r="S38" s="15">
        <v>32</v>
      </c>
    </row>
    <row r="39" spans="2:19" ht="19.5" customHeight="1">
      <c r="B39" s="20" t="s">
        <v>19</v>
      </c>
      <c r="C39" s="24">
        <v>5</v>
      </c>
      <c r="D39" s="21" t="s">
        <v>5</v>
      </c>
      <c r="E39" s="21"/>
      <c r="F39" s="21" t="str">
        <f>IF(F1=B39,D39,"")</f>
        <v>店舗用・住宅用のもの</v>
      </c>
      <c r="G39" s="21">
        <v>5</v>
      </c>
      <c r="H39" s="21">
        <f t="shared" si="0"/>
        <v>5</v>
      </c>
      <c r="I39" s="21" t="str">
        <f>IF(F1=B36,D47,"")</f>
        <v>公衆浴場用のもの</v>
      </c>
      <c r="J39" s="21">
        <f t="shared" si="3"/>
        <v>5</v>
      </c>
      <c r="K39" s="21" t="s">
        <v>31</v>
      </c>
      <c r="L39" s="22">
        <v>2</v>
      </c>
      <c r="M39" s="22">
        <f t="shared" si="4"/>
        <v>2</v>
      </c>
      <c r="N39" s="22" t="str">
        <f>IF(F2=F39,K39,"")</f>
        <v>３㎜を超え、４㎜以下のもの</v>
      </c>
      <c r="O39" s="22"/>
      <c r="P39" s="22"/>
      <c r="Q39" s="22" t="str">
        <f>IF(N39="","",IF(F3=N39,R39,""))</f>
        <v/>
      </c>
      <c r="R39" s="23">
        <v>27</v>
      </c>
      <c r="S39" s="15">
        <v>33</v>
      </c>
    </row>
    <row r="40" spans="2:19" ht="19.5" customHeight="1">
      <c r="B40" s="20" t="s">
        <v>19</v>
      </c>
      <c r="C40" s="24">
        <v>5</v>
      </c>
      <c r="D40" s="21" t="s">
        <v>5</v>
      </c>
      <c r="E40" s="21"/>
      <c r="F40" s="21" t="str">
        <f>IF(F1=B40,D40,"")</f>
        <v>店舗用・住宅用のもの</v>
      </c>
      <c r="G40" s="21">
        <v>6</v>
      </c>
      <c r="H40" s="21">
        <f t="shared" si="0"/>
        <v>6</v>
      </c>
      <c r="I40" s="21" t="str">
        <f>IF(F1=B37,D50,"")</f>
        <v>工場用・倉庫用のもの（一般用）</v>
      </c>
      <c r="J40" s="21">
        <f t="shared" si="3"/>
        <v>6</v>
      </c>
      <c r="K40" s="21" t="s">
        <v>32</v>
      </c>
      <c r="L40" s="22">
        <v>3</v>
      </c>
      <c r="M40" s="22">
        <f t="shared" si="4"/>
        <v>3</v>
      </c>
      <c r="N40" s="22" t="str">
        <f>IF(F2=F40,K40,"")</f>
        <v>３㎜以下のもの</v>
      </c>
      <c r="O40" s="22"/>
      <c r="P40" s="22"/>
      <c r="Q40" s="22">
        <f>IF(N40="","",IF(F3=N40,R40,""))</f>
        <v>19</v>
      </c>
      <c r="R40" s="23">
        <v>19</v>
      </c>
      <c r="S40" s="15">
        <v>34</v>
      </c>
    </row>
    <row r="41" spans="2:19" ht="19.5" customHeight="1">
      <c r="B41" s="20" t="s">
        <v>19</v>
      </c>
      <c r="C41" s="24">
        <v>5</v>
      </c>
      <c r="D41" s="21" t="s">
        <v>20</v>
      </c>
      <c r="E41" s="21"/>
      <c r="F41" s="21" t="str">
        <f>IF(F1=B41,D41,"")</f>
        <v>飲食店用・車庫用のもの</v>
      </c>
      <c r="G41" s="21"/>
      <c r="H41" s="21"/>
      <c r="I41" s="21"/>
      <c r="J41" s="21"/>
      <c r="K41" s="21" t="s">
        <v>35</v>
      </c>
      <c r="L41" s="22">
        <v>1</v>
      </c>
      <c r="M41" s="22" t="str">
        <f t="shared" si="4"/>
        <v/>
      </c>
      <c r="N41" s="22" t="str">
        <f>IF(F2=F41,K41,"")</f>
        <v/>
      </c>
      <c r="O41" s="22"/>
      <c r="P41" s="22"/>
      <c r="Q41" s="22" t="str">
        <f>IF(N41="","",IF(F3=N41,R41,""))</f>
        <v/>
      </c>
      <c r="R41" s="23">
        <v>31</v>
      </c>
      <c r="S41" s="15">
        <v>35</v>
      </c>
    </row>
    <row r="42" spans="2:19" ht="19.5" customHeight="1">
      <c r="B42" s="20" t="s">
        <v>19</v>
      </c>
      <c r="C42" s="24">
        <v>5</v>
      </c>
      <c r="D42" s="21" t="s">
        <v>20</v>
      </c>
      <c r="E42" s="21"/>
      <c r="F42" s="21" t="str">
        <f>IF(F1=B42,D42,"")</f>
        <v>飲食店用・車庫用のもの</v>
      </c>
      <c r="G42" s="21"/>
      <c r="H42" s="21"/>
      <c r="I42" s="21"/>
      <c r="J42" s="21"/>
      <c r="K42" s="21" t="s">
        <v>34</v>
      </c>
      <c r="L42" s="22">
        <v>2</v>
      </c>
      <c r="M42" s="22" t="str">
        <f t="shared" si="4"/>
        <v/>
      </c>
      <c r="N42" s="22" t="str">
        <f>IF(F2=F42,K42,"")</f>
        <v/>
      </c>
      <c r="O42" s="22"/>
      <c r="P42" s="22"/>
      <c r="Q42" s="22" t="str">
        <f>IF(N42="","",IF(F3=N42,R42,""))</f>
        <v/>
      </c>
      <c r="R42" s="23">
        <v>25</v>
      </c>
      <c r="S42" s="15">
        <v>36</v>
      </c>
    </row>
    <row r="43" spans="2:19" ht="19.5" customHeight="1">
      <c r="B43" s="20" t="s">
        <v>19</v>
      </c>
      <c r="C43" s="24">
        <v>5</v>
      </c>
      <c r="D43" s="21" t="s">
        <v>20</v>
      </c>
      <c r="E43" s="21"/>
      <c r="F43" s="21" t="str">
        <f>IF(F1=B43,D43,"")</f>
        <v>飲食店用・車庫用のもの</v>
      </c>
      <c r="G43" s="21"/>
      <c r="H43" s="21"/>
      <c r="I43" s="21"/>
      <c r="J43" s="21"/>
      <c r="K43" s="21" t="s">
        <v>33</v>
      </c>
      <c r="L43" s="22">
        <v>3</v>
      </c>
      <c r="M43" s="22" t="str">
        <f t="shared" si="4"/>
        <v/>
      </c>
      <c r="N43" s="22" t="str">
        <f>IF(F2=F43,K43,"")</f>
        <v/>
      </c>
      <c r="O43" s="22"/>
      <c r="P43" s="22"/>
      <c r="Q43" s="22" t="str">
        <f>IF(N43="","",IF(F3=N43,R43,""))</f>
        <v/>
      </c>
      <c r="R43" s="23">
        <v>19</v>
      </c>
      <c r="S43" s="15">
        <v>37</v>
      </c>
    </row>
    <row r="44" spans="2:19" ht="19.5" customHeight="1">
      <c r="B44" s="20" t="s">
        <v>19</v>
      </c>
      <c r="C44" s="24">
        <v>5</v>
      </c>
      <c r="D44" s="21" t="s">
        <v>18</v>
      </c>
      <c r="E44" s="21"/>
      <c r="F44" s="21" t="str">
        <f>IF(F1=B44,D44,"")</f>
        <v>旅館用・ホテル用・病院用のもの</v>
      </c>
      <c r="G44" s="21"/>
      <c r="H44" s="21"/>
      <c r="I44" s="21"/>
      <c r="J44" s="21"/>
      <c r="K44" s="21" t="s">
        <v>30</v>
      </c>
      <c r="L44" s="22">
        <v>1</v>
      </c>
      <c r="M44" s="22" t="str">
        <f t="shared" si="4"/>
        <v/>
      </c>
      <c r="N44" s="22" t="str">
        <f>IF(F2=F44,K44,"")</f>
        <v/>
      </c>
      <c r="O44" s="22"/>
      <c r="P44" s="22"/>
      <c r="Q44" s="22" t="str">
        <f>IF(N44="","",IF(F3=N44,R44,""))</f>
        <v/>
      </c>
      <c r="R44" s="23">
        <v>29</v>
      </c>
      <c r="S44" s="15">
        <v>38</v>
      </c>
    </row>
    <row r="45" spans="2:19" ht="19.5" customHeight="1">
      <c r="B45" s="20" t="s">
        <v>19</v>
      </c>
      <c r="C45" s="24">
        <v>5</v>
      </c>
      <c r="D45" s="21" t="s">
        <v>18</v>
      </c>
      <c r="E45" s="21"/>
      <c r="F45" s="21" t="str">
        <f>IF(F1=B45,D45,"")</f>
        <v>旅館用・ホテル用・病院用のもの</v>
      </c>
      <c r="G45" s="21"/>
      <c r="H45" s="21"/>
      <c r="I45" s="21"/>
      <c r="J45" s="21"/>
      <c r="K45" s="21" t="s">
        <v>31</v>
      </c>
      <c r="L45" s="22">
        <v>2</v>
      </c>
      <c r="M45" s="22" t="str">
        <f t="shared" si="4"/>
        <v/>
      </c>
      <c r="N45" s="22" t="str">
        <f>IF(F2=F45,K45,"")</f>
        <v/>
      </c>
      <c r="O45" s="22"/>
      <c r="P45" s="22"/>
      <c r="Q45" s="22" t="str">
        <f>IF(N45="","",IF(F3=N45,R45,""))</f>
        <v/>
      </c>
      <c r="R45" s="23">
        <v>24</v>
      </c>
      <c r="S45" s="15">
        <v>39</v>
      </c>
    </row>
    <row r="46" spans="2:19" ht="19.5" customHeight="1">
      <c r="B46" s="20" t="s">
        <v>19</v>
      </c>
      <c r="C46" s="24">
        <v>5</v>
      </c>
      <c r="D46" s="21" t="s">
        <v>18</v>
      </c>
      <c r="E46" s="21"/>
      <c r="F46" s="21" t="str">
        <f>IF(F1=B46,D46,"")</f>
        <v>旅館用・ホテル用・病院用のもの</v>
      </c>
      <c r="G46" s="21"/>
      <c r="H46" s="21"/>
      <c r="I46" s="21"/>
      <c r="J46" s="21"/>
      <c r="K46" s="21" t="s">
        <v>32</v>
      </c>
      <c r="L46" s="22">
        <v>3</v>
      </c>
      <c r="M46" s="22" t="str">
        <f t="shared" si="4"/>
        <v/>
      </c>
      <c r="N46" s="22" t="str">
        <f>IF(F2=F46,K46,"")</f>
        <v/>
      </c>
      <c r="O46" s="22"/>
      <c r="P46" s="22"/>
      <c r="Q46" s="22" t="str">
        <f>IF(N46="","",IF(F3=N46,R46,""))</f>
        <v/>
      </c>
      <c r="R46" s="23">
        <v>17</v>
      </c>
      <c r="S46" s="15">
        <v>40</v>
      </c>
    </row>
    <row r="47" spans="2:19" ht="19.5" customHeight="1">
      <c r="B47" s="20" t="s">
        <v>19</v>
      </c>
      <c r="C47" s="24">
        <v>5</v>
      </c>
      <c r="D47" s="21" t="s">
        <v>8</v>
      </c>
      <c r="E47" s="21"/>
      <c r="F47" s="21" t="str">
        <f>IF(F1=B47,D47,"")</f>
        <v>公衆浴場用のもの</v>
      </c>
      <c r="G47" s="21"/>
      <c r="H47" s="21"/>
      <c r="I47" s="21"/>
      <c r="J47" s="21"/>
      <c r="K47" s="21" t="s">
        <v>30</v>
      </c>
      <c r="L47" s="22">
        <v>1</v>
      </c>
      <c r="M47" s="22" t="str">
        <f t="shared" si="4"/>
        <v/>
      </c>
      <c r="N47" s="22" t="str">
        <f>IF(F2=F47,K47,"")</f>
        <v/>
      </c>
      <c r="O47" s="22"/>
      <c r="P47" s="22"/>
      <c r="Q47" s="22" t="str">
        <f>IF(N47="","",IF(F3=N47,R47,""))</f>
        <v/>
      </c>
      <c r="R47" s="23">
        <v>27</v>
      </c>
      <c r="S47" s="15">
        <v>41</v>
      </c>
    </row>
    <row r="48" spans="2:19" ht="19.5" customHeight="1">
      <c r="B48" s="20" t="s">
        <v>19</v>
      </c>
      <c r="C48" s="24">
        <v>5</v>
      </c>
      <c r="D48" s="21" t="s">
        <v>8</v>
      </c>
      <c r="E48" s="21"/>
      <c r="F48" s="21" t="str">
        <f>IF(F1=B48,D48,"")</f>
        <v>公衆浴場用のもの</v>
      </c>
      <c r="G48" s="21"/>
      <c r="H48" s="21"/>
      <c r="I48" s="21"/>
      <c r="J48" s="21"/>
      <c r="K48" s="21" t="s">
        <v>31</v>
      </c>
      <c r="L48" s="22">
        <v>2</v>
      </c>
      <c r="M48" s="22" t="str">
        <f t="shared" si="4"/>
        <v/>
      </c>
      <c r="N48" s="22" t="str">
        <f>IF(F2=F48,K48,"")</f>
        <v/>
      </c>
      <c r="O48" s="22"/>
      <c r="P48" s="22"/>
      <c r="Q48" s="22" t="str">
        <f>IF(N48="","",IF(F3=N48,R48,""))</f>
        <v/>
      </c>
      <c r="R48" s="23">
        <v>19</v>
      </c>
      <c r="S48" s="15">
        <v>42</v>
      </c>
    </row>
    <row r="49" spans="2:19" ht="19.5" customHeight="1">
      <c r="B49" s="20" t="s">
        <v>19</v>
      </c>
      <c r="C49" s="24">
        <v>5</v>
      </c>
      <c r="D49" s="21" t="s">
        <v>8</v>
      </c>
      <c r="E49" s="21"/>
      <c r="F49" s="21" t="str">
        <f>IF(F1=B49,D49,"")</f>
        <v>公衆浴場用のもの</v>
      </c>
      <c r="G49" s="21"/>
      <c r="H49" s="21"/>
      <c r="I49" s="21"/>
      <c r="J49" s="21"/>
      <c r="K49" s="21" t="s">
        <v>32</v>
      </c>
      <c r="L49" s="22">
        <v>3</v>
      </c>
      <c r="M49" s="22" t="str">
        <f t="shared" si="4"/>
        <v/>
      </c>
      <c r="N49" s="22" t="str">
        <f>IF(F2=F49,K49,"")</f>
        <v/>
      </c>
      <c r="O49" s="22"/>
      <c r="P49" s="22"/>
      <c r="Q49" s="22" t="str">
        <f>IF(N49="","",IF(F3=N49,R49,""))</f>
        <v/>
      </c>
      <c r="R49" s="23">
        <v>15</v>
      </c>
      <c r="S49" s="15">
        <v>43</v>
      </c>
    </row>
    <row r="50" spans="2:19" ht="19.5" customHeight="1">
      <c r="B50" s="20" t="s">
        <v>19</v>
      </c>
      <c r="C50" s="24">
        <v>5</v>
      </c>
      <c r="D50" s="21" t="s">
        <v>9</v>
      </c>
      <c r="E50" s="21"/>
      <c r="F50" s="21" t="str">
        <f>IF(F1=B50,D50,"")</f>
        <v>工場用・倉庫用のもの（一般用）</v>
      </c>
      <c r="G50" s="21"/>
      <c r="H50" s="21"/>
      <c r="I50" s="21"/>
      <c r="J50" s="21"/>
      <c r="K50" s="21" t="s">
        <v>30</v>
      </c>
      <c r="L50" s="22">
        <v>1</v>
      </c>
      <c r="M50" s="22" t="str">
        <f t="shared" si="4"/>
        <v/>
      </c>
      <c r="N50" s="22" t="str">
        <f>IF(F2=F50,K50,"")</f>
        <v/>
      </c>
      <c r="O50" s="22"/>
      <c r="P50" s="22"/>
      <c r="Q50" s="22" t="str">
        <f>IF(N50="","",IF(F3=N50,R50,""))</f>
        <v/>
      </c>
      <c r="R50" s="23">
        <v>31</v>
      </c>
      <c r="S50" s="15">
        <v>44</v>
      </c>
    </row>
    <row r="51" spans="2:19" ht="19.5" customHeight="1">
      <c r="B51" s="20" t="s">
        <v>19</v>
      </c>
      <c r="C51" s="24">
        <v>5</v>
      </c>
      <c r="D51" s="21" t="s">
        <v>9</v>
      </c>
      <c r="E51" s="21"/>
      <c r="F51" s="21" t="str">
        <f>IF(F1=B51,D51,"")</f>
        <v>工場用・倉庫用のもの（一般用）</v>
      </c>
      <c r="G51" s="21"/>
      <c r="H51" s="21"/>
      <c r="I51" s="21"/>
      <c r="J51" s="21"/>
      <c r="K51" s="21" t="s">
        <v>31</v>
      </c>
      <c r="L51" s="22">
        <v>2</v>
      </c>
      <c r="M51" s="22" t="str">
        <f t="shared" si="4"/>
        <v/>
      </c>
      <c r="N51" s="22" t="str">
        <f>IF(F2=F51,K51,"")</f>
        <v/>
      </c>
      <c r="O51" s="22"/>
      <c r="P51" s="22"/>
      <c r="Q51" s="22" t="str">
        <f>IF(N51="","",IF(F3=N51,R51,""))</f>
        <v/>
      </c>
      <c r="R51" s="23">
        <v>24</v>
      </c>
      <c r="S51" s="15">
        <v>45</v>
      </c>
    </row>
    <row r="52" spans="2:19" ht="19.5" customHeight="1" thickBot="1">
      <c r="B52" s="25" t="s">
        <v>19</v>
      </c>
      <c r="C52" s="24">
        <v>5</v>
      </c>
      <c r="D52" s="26" t="s">
        <v>9</v>
      </c>
      <c r="E52" s="27"/>
      <c r="F52" s="21" t="str">
        <f>IF(F1=B52,D52,"")</f>
        <v>工場用・倉庫用のもの（一般用）</v>
      </c>
      <c r="G52" s="27"/>
      <c r="H52" s="27"/>
      <c r="I52" s="27"/>
      <c r="J52" s="27"/>
      <c r="K52" s="26" t="s">
        <v>32</v>
      </c>
      <c r="L52" s="22">
        <v>3</v>
      </c>
      <c r="M52" s="22" t="str">
        <f t="shared" si="4"/>
        <v/>
      </c>
      <c r="N52" s="22" t="str">
        <f>IF(F2=F52,K52,"")</f>
        <v/>
      </c>
      <c r="O52" s="22"/>
      <c r="P52" s="22"/>
      <c r="Q52" s="22" t="str">
        <f>IF(N52="","",IF(F3=N52,R52,""))</f>
        <v/>
      </c>
      <c r="R52" s="28">
        <v>17</v>
      </c>
      <c r="S52" s="15">
        <v>46</v>
      </c>
    </row>
    <row r="53" spans="2:19" ht="19.5" customHeigh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>
        <f>SUM(Q7:Q52)</f>
        <v>19</v>
      </c>
      <c r="R53" s="15"/>
      <c r="S53" s="15"/>
    </row>
    <row r="56" spans="2:19" ht="19.5" customHeight="1">
      <c r="B56" s="4" t="s">
        <v>3</v>
      </c>
      <c r="C56" s="4">
        <v>1</v>
      </c>
      <c r="D56" s="5"/>
      <c r="E56" s="5"/>
      <c r="F56" s="5"/>
      <c r="G56" s="5"/>
      <c r="H56" s="5"/>
      <c r="I56" s="5"/>
      <c r="J56" s="5"/>
    </row>
    <row r="57" spans="2:19" ht="19.5" customHeight="1">
      <c r="B57" s="7" t="s">
        <v>21</v>
      </c>
      <c r="C57" s="4">
        <v>2</v>
      </c>
      <c r="D57" s="5"/>
      <c r="E57" s="5"/>
      <c r="F57" s="5"/>
      <c r="G57" s="5"/>
      <c r="H57" s="5"/>
      <c r="I57" s="5"/>
      <c r="J57" s="5"/>
    </row>
    <row r="58" spans="2:19" ht="19.5" customHeight="1">
      <c r="B58" s="7" t="s">
        <v>10</v>
      </c>
      <c r="C58" s="4">
        <v>3</v>
      </c>
      <c r="D58" s="5"/>
      <c r="E58" s="5"/>
      <c r="F58" s="5"/>
      <c r="G58" s="5"/>
      <c r="H58" s="5"/>
      <c r="I58" s="5"/>
      <c r="J58" s="5"/>
    </row>
    <row r="59" spans="2:19" ht="19.5" customHeight="1">
      <c r="B59" s="7" t="s">
        <v>16</v>
      </c>
      <c r="C59" s="4">
        <v>4</v>
      </c>
      <c r="D59" s="5"/>
      <c r="E59" s="5"/>
      <c r="F59" s="5"/>
      <c r="G59" s="5"/>
      <c r="H59" s="5"/>
      <c r="I59" s="5"/>
      <c r="J59" s="5"/>
    </row>
    <row r="60" spans="2:19" ht="19.5" customHeight="1">
      <c r="B60" s="7" t="s">
        <v>19</v>
      </c>
      <c r="C60" s="4">
        <v>5</v>
      </c>
      <c r="D60" s="5"/>
      <c r="E60" s="5"/>
      <c r="H60" s="5"/>
      <c r="I60" s="5"/>
      <c r="J60" s="5"/>
    </row>
  </sheetData>
  <phoneticPr fontId="1"/>
  <dataValidations count="3">
    <dataValidation type="list" allowBlank="1" showInputMessage="1" showErrorMessage="1" sqref="F3" xr:uid="{00000000-0002-0000-0100-000000000000}">
      <formula1>$P$7:$P$9</formula1>
    </dataValidation>
    <dataValidation type="list" allowBlank="1" showInputMessage="1" showErrorMessage="1" sqref="F2" xr:uid="{00000000-0002-0000-0100-000001000000}">
      <formula1>$K$6:$K$29</formula1>
    </dataValidation>
    <dataValidation type="list" allowBlank="1" showInputMessage="1" showErrorMessage="1" sqref="F1" xr:uid="{00000000-0002-0000-0100-000002000000}">
      <formula1>$B$55:$B$60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ボタン2_Click">
                <anchor moveWithCells="1" sizeWithCells="1">
                  <from>
                    <xdr:col>1</xdr:col>
                    <xdr:colOff>3562350</xdr:colOff>
                    <xdr:row>0</xdr:row>
                    <xdr:rowOff>85725</xdr:rowOff>
                  </from>
                  <to>
                    <xdr:col>4</xdr:col>
                    <xdr:colOff>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建物耐用年数一覧表 ($抜き)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河野 守邦</dc:creator>
  <cp:lastModifiedBy>河野守邦</cp:lastModifiedBy>
  <dcterms:created xsi:type="dcterms:W3CDTF">2017-06-25T07:26:04Z</dcterms:created>
  <dcterms:modified xsi:type="dcterms:W3CDTF">2025-05-14T08:54:50Z</dcterms:modified>
</cp:coreProperties>
</file>